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ashboard" sheetId="2" state="visible" r:id="rId4"/>
    <sheet name="Analysis" sheetId="3" state="visible" r:id="rId5"/>
    <sheet name="Workflow" sheetId="4" state="visible" r:id="rId6"/>
    <sheet name="Sessions" sheetId="5" state="visible" r:id="rId7"/>
    <sheet name="Sample Mapping" sheetId="6" state="visible" r:id="rId8"/>
    <sheet name="Learner Roster" sheetId="7" state="visible" r:id="rId9"/>
    <sheet name="Sample Input" sheetId="8" state="visible" r:id="rId10"/>
    <sheet name="Processed Instances" sheetId="9" state="visible" r:id="rId11"/>
    <sheet name="Sample Output" sheetId="10" state="visible" r:id="rId12"/>
    <sheet name="Validation Report" sheetId="11" state="visible" r:id="rId13"/>
    <sheet name="Daily Breakdown" sheetId="12" state="visible" r:id="rId14"/>
    <sheet name="Daily Matrix" sheetId="13" state="visible" r:id="rId15"/>
    <sheet name="Impact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<sst xmlns="http://schemas.openxmlformats.org/spreadsheetml/2006/main" count="1940" uniqueCount="717">
  <si>
    <t xml:space="preserve">ChronoSync | AI-Powered Attendance Reconciliation Engine</t>
  </si>
  <si>
    <t xml:space="preserve">Built at Tata Consultancy Services for a client's L&amp;D attendance correction process</t>
  </si>
  <si>
    <t xml:space="preserve">Area</t>
  </si>
  <si>
    <t xml:space="preserve">Details</t>
  </si>
  <si>
    <t xml:space="preserve">The problem</t>
  </si>
  <si>
    <t xml:space="preserve">Learners submit attendance corrections in an Excel form with messy entries (mixed time formats, several missed periods in one cell, partial or comment-only rows). Turning these into an upload-ready missed time file was manual and repetitive.</t>
  </si>
  <si>
    <t xml:space="preserve">What the tool does</t>
  </si>
  <si>
    <t xml:space="preserve">Reads the correction form, validates each entry, maps learners to User IDs, normalizes times to MM/DD/YYYY HH:MM, and fills the missed time template. It also produces a per-learner validation report and summary counts.</t>
  </si>
  <si>
    <t xml:space="preserve">Scale shown here</t>
  </si>
  <si>
    <t xml:space="preserve">Sample data covers 40 learners in four program formats (1, 2, 4 and 5 days), with up to three missed periods per learner per day, so it shows the tool handling many learners, many days, and multiple breaks.</t>
  </si>
  <si>
    <t xml:space="preserve">Inputs</t>
  </si>
  <si>
    <t xml:space="preserve">1) Attendance Corrections Form
2) Learner Email to User ID mapping file
3) Missed Time template</t>
  </si>
  <si>
    <t xml:space="preserve">Outputs</t>
  </si>
  <si>
    <t xml:space="preserve">1) Populated Missed Time file (drop-in ready for upload)
2) Validation report per learner
3) Summary counts, plus the analysis in this workbook</t>
  </si>
  <si>
    <t xml:space="preserve">Tech</t>
  </si>
  <si>
    <t xml:space="preserve">Prompt Engineering, Microsoft Copilot, Claude, Python (pandas)</t>
  </si>
  <si>
    <t xml:space="preserve">Impact</t>
  </si>
  <si>
    <t xml:space="preserve">Processing time cut from about 30 minutes of manual work to about 30 seconds per run (see Impact sheet).</t>
  </si>
  <si>
    <t xml:space="preserve">Sample data scope (live counts)</t>
  </si>
  <si>
    <t xml:space="preserve">Measure</t>
  </si>
  <si>
    <t xml:space="preserve">Value</t>
  </si>
  <si>
    <t xml:space="preserve">Learners enrolled</t>
  </si>
  <si>
    <t xml:space="preserve">Form rows received</t>
  </si>
  <si>
    <t xml:space="preserve">Missed-time instances extracted</t>
  </si>
  <si>
    <t xml:space="preserve">Learners with missed time</t>
  </si>
  <si>
    <t xml:space="preserve">Learners with multiple missed occurrences</t>
  </si>
  <si>
    <t xml:space="preserve">Note: all names, emails, and IDs in this workbook are fictional sample data. No client data is included.</t>
  </si>
  <si>
    <t xml:space="preserve">ChronoSync Dashboard: Attendance Correction Analytics</t>
  </si>
  <si>
    <t xml:space="preserve">Sample dataset: 40 learners, 4 program formats (1, 2, 4 and 5 days), multiple missed periods per day. Fictional data.</t>
  </si>
  <si>
    <t xml:space="preserve">Rows accepted (valid)</t>
  </si>
  <si>
    <t xml:space="preserve">Missed instances found</t>
  </si>
  <si>
    <t xml:space="preserve">Total missed hours</t>
  </si>
  <si>
    <t xml:space="preserve">Avg minutes per instance</t>
  </si>
  <si>
    <t xml:space="preserve">Key insights (from the sample data)</t>
  </si>
  <si>
    <t xml:space="preserve">1. Scale: 59 form rows from 40 enrolled learners (38 usable rows) produced 59 missed-time instances across 1, 2, 4 and 5-day programs.</t>
  </si>
  <si>
    <t xml:space="preserve">2. Multi-day effect: instances per enrolled learner are 0.42 on Day 1 and 0.80 on Day 5; the highest rate is on Day 5 (0.80) and the lowest on Day 2 (0.33).</t>
  </si>
  <si>
    <t xml:space="preserve">3. Timing: the most common start hour is 09:00, and 51% of missed periods start at 13:00 or later.</t>
  </si>
  <si>
    <t xml:space="preserve">4. Concentration: the top 5 of 23 affected learners account for 45% of all missed minutes, so a small group drives a large share of the volume.</t>
  </si>
  <si>
    <t xml:space="preserve">5. Data quality: 38 of 59 rows (64%) were usable; the most common rejection was 'comments only' (5 rows). 16 valid rows held more than one missed period in a single day.</t>
  </si>
  <si>
    <t xml:space="preserve">Suggested actions: add a catch-up window after the peak hour, send check-ins from mid-program days, and validate the form at source (required end time, 24-hour format) to cut rejected rows.</t>
  </si>
  <si>
    <t xml:space="preserve">Analysis tables</t>
  </si>
  <si>
    <t xml:space="preserve">All figures are formulas on the sample data; charts on the Dashboard read from here.</t>
  </si>
  <si>
    <t xml:space="preserve">A. Program summary</t>
  </si>
  <si>
    <t xml:space="preserve">Program</t>
  </si>
  <si>
    <t xml:space="preserve">Days</t>
  </si>
  <si>
    <t xml:space="preserve">Enrolled learners</t>
  </si>
  <si>
    <t xml:space="preserve">% learners affected</t>
  </si>
  <si>
    <t xml:space="preserve">Missed instances</t>
  </si>
  <si>
    <t xml:space="preserve">Missed minutes</t>
  </si>
  <si>
    <t xml:space="preserve">Avg instances per affected learner</t>
  </si>
  <si>
    <t xml:space="preserve">Total</t>
  </si>
  <si>
    <t xml:space="preserve">B. Missed time by session day</t>
  </si>
  <si>
    <t xml:space="preserve">Day</t>
  </si>
  <si>
    <t xml:space="preserve">Day #</t>
  </si>
  <si>
    <t xml:space="preserve">1-Day Workshop</t>
  </si>
  <si>
    <t xml:space="preserve">2-Day Bootcamp</t>
  </si>
  <si>
    <t xml:space="preserve">4-Day Program</t>
  </si>
  <si>
    <t xml:space="preserve">5-Day Academy</t>
  </si>
  <si>
    <t xml:space="preserve">Total instances</t>
  </si>
  <si>
    <t xml:space="preserve">Learners in session that day</t>
  </si>
  <si>
    <t xml:space="preserve">Instances per learner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</si>
  <si>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</si>
  <si>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</si>
  <si>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</si>
  <si>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</si>
  <si>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</si>
  <si>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C. Missed time by start hour</t>
  </si>
  <si>
    <t xml:space="preserve">Start hour</t>
  </si>
  <si>
    <t xml:space="preserve">Hour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</si>
  <si>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</si>
  <si>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</si>
  <si>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</si>
  <si>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</si>
  <si>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</si>
  <si>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</si>
  <si>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</si>
  <si>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</si>
  <si>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D. Top 10 learners by missed minutes</t>
  </si>
  <si>
    <t xml:space="preserve">Rank</t>
  </si>
  <si>
    <t xml:space="preserve">Learner</t>
  </si>
  <si>
    <t xml:space="preserve">Kiran Bhat</t>
  </si>
  <si>
    <t xml:space="preserve">Omar Pillai</t>
  </si>
  <si>
    <t xml:space="preserve">Faisal Hassan</t>
  </si>
  <si>
    <t xml:space="preserve">Anil Verma</t>
  </si>
  <si>
    <t xml:space="preserve">Xavier Fischer</t>
  </si>
  <si>
    <t xml:space="preserve">Marco Rossi</t>
  </si>
  <si>
    <t xml:space="preserve">Tariq Ali</t>
  </si>
  <si>
    <t xml:space="preserve">Leela Hughes</t>
  </si>
  <si>
    <t xml:space="preserve">Ben Carter</t>
  </si>
  <si>
    <t xml:space="preserve">Elena Ortiz</t>
  </si>
  <si>
    <t xml:space="preserve">Top 10 share of all missed minutes</t>
  </si>
  <si>
    <t xml:space="preserve">E. Data quality: what happens to each form row</t>
  </si>
  <si>
    <t xml:space="preserve">Outcome</t>
  </si>
  <si>
    <t xml:space="preserve">Outcome text in input</t>
  </si>
  <si>
    <t xml:space="preserve">Rows</t>
  </si>
  <si>
    <t xml:space="preserve">% of rows</t>
  </si>
  <si>
    <t xml:space="preserve">Valid</t>
  </si>
  <si>
    <t xml:space="preserve">Missing end time</t>
  </si>
  <si>
    <t xml:space="preserve">Excluded: end time missing</t>
  </si>
  <si>
    <t xml:space="preserve">Comments only</t>
  </si>
  <si>
    <t xml:space="preserve">Excluded: comments only</t>
  </si>
  <si>
    <t xml:space="preserve">On exclusion list</t>
  </si>
  <si>
    <t xml:space="preserve">Excluded: on exclusion list</t>
  </si>
  <si>
    <t xml:space="preserve">End before start</t>
  </si>
  <si>
    <t xml:space="preserve">Excluded: end before start</t>
  </si>
  <si>
    <t xml:space="preserve">No User ID</t>
  </si>
  <si>
    <t xml:space="preserve">Excluded: no User ID found</t>
  </si>
  <si>
    <t xml:space="preserve">Total rows received</t>
  </si>
  <si>
    <t xml:space="preserve">F. Missed periods per learner-day (valid rows)</t>
  </si>
  <si>
    <t xml:space="preserve">Periods in one day</t>
  </si>
  <si>
    <t xml:space="preserve">Count</t>
  </si>
  <si>
    <t xml:space="preserve">Learner-days</t>
  </si>
  <si>
    <t xml:space="preserve">% of valid learner-days</t>
  </si>
  <si>
    <t xml:space="preserve">1 period</t>
  </si>
  <si>
    <t xml:space="preserve">2 periods</t>
  </si>
  <si>
    <t xml:space="preserve">3 periods</t>
  </si>
  <si>
    <t xml:space="preserve">How it works: pipeline steps</t>
  </si>
  <si>
    <t xml:space="preserve">Ingestion, validation, mapping, output, analysis</t>
  </si>
  <si>
    <t xml:space="preserve">Step</t>
  </si>
  <si>
    <t xml:space="preserve">Stage</t>
  </si>
  <si>
    <t xml:space="preserve">What happens</t>
  </si>
  <si>
    <t xml:space="preserve">Rule applied</t>
  </si>
  <si>
    <t xml:space="preserve">Tool</t>
  </si>
  <si>
    <t xml:space="preserve">Ingestion</t>
  </si>
  <si>
    <t xml:space="preserve">Reads the corrections workbook and auto-detects the header row</t>
  </si>
  <si>
    <t xml:space="preserve">Header row found by matching column names</t>
  </si>
  <si>
    <t xml:space="preserve">Python (pandas)</t>
  </si>
  <si>
    <t xml:space="preserve">Cleaning</t>
  </si>
  <si>
    <t xml:space="preserve">Cleans learner emails and splits multi-entry time cells</t>
  </si>
  <si>
    <t xml:space="preserve">Trim, lowercase, remove mailto/brackets; split on new line or comma</t>
  </si>
  <si>
    <t xml:space="preserve">Python / Prompt</t>
  </si>
  <si>
    <t xml:space="preserve">Filtering</t>
  </si>
  <si>
    <t xml:space="preserve">Keeps only complete missed-time records</t>
  </si>
  <si>
    <t xml:space="preserve">Both start and end required; partial and comment-only rows dropped; excluded emails dropped</t>
  </si>
  <si>
    <t xml:space="preserve">Prompt (Copilot, Claude)</t>
  </si>
  <si>
    <t xml:space="preserve">Time normalization</t>
  </si>
  <si>
    <t xml:space="preserve">Converts 9am, 1:06 PM, 13:06 etc. into one standard format</t>
  </si>
  <si>
    <t xml:space="preserve">Output MM/DD/YYYY HH:MM, 24-hour, no AM/PM</t>
  </si>
  <si>
    <t xml:space="preserve">Time validation</t>
  </si>
  <si>
    <t xml:space="preserve">Removes impossible time ranges</t>
  </si>
  <si>
    <t xml:space="preserve">End time before or equal to start is invalid; no next-day inference</t>
  </si>
  <si>
    <t xml:space="preserve">User ID mapping</t>
  </si>
  <si>
    <t xml:space="preserve">Joins learner email to User ID</t>
  </si>
  <si>
    <t xml:space="preserve">Unmapped learners are excluded; User IDs are never guessed</t>
  </si>
  <si>
    <t xml:space="preserve">Output</t>
  </si>
  <si>
    <t xml:space="preserve">Fills only the required template columns and builds the validation report</t>
  </si>
  <si>
    <t xml:space="preserve">Template structure preserved; other columns left blank</t>
  </si>
  <si>
    <t xml:space="preserve">Analysis</t>
  </si>
  <si>
    <t xml:space="preserve">Summarizes missed time by program, session day, hour, and learner</t>
  </si>
  <si>
    <t xml:space="preserve">Counts and minutes aggregated from the processed instances</t>
  </si>
  <si>
    <t xml:space="preserve">Excel formulas</t>
  </si>
  <si>
    <t xml:space="preserve">Sessions in the sample data</t>
  </si>
  <si>
    <t xml:space="preserve">Four program formats: 1, 2, 4 and 5 days (fictional)</t>
  </si>
  <si>
    <t xml:space="preserve">Session ID</t>
  </si>
  <si>
    <t xml:space="preserve">Start date</t>
  </si>
  <si>
    <t xml:space="preserve">End date</t>
  </si>
  <si>
    <t xml:space="preserve">S-101</t>
  </si>
  <si>
    <t xml:space="preserve">S-102</t>
  </si>
  <si>
    <t xml:space="preserve">S-103</t>
  </si>
  <si>
    <t xml:space="preserve">S-104</t>
  </si>
  <si>
    <t xml:space="preserve">Enrolled learners (blue) are sample inputs. All sessions run on consecutive weekdays.</t>
  </si>
  <si>
    <t xml:space="preserve">Sample User ID mapping file</t>
  </si>
  <si>
    <t xml:space="preserve">Learner Email to User ID (fictional). Some learners are intentionally missing.</t>
  </si>
  <si>
    <t xml:space="preserve">Learner Email</t>
  </si>
  <si>
    <t xml:space="preserve">User ID</t>
  </si>
  <si>
    <t xml:space="preserve">asha.rao@example.com</t>
  </si>
  <si>
    <t xml:space="preserve">U1001</t>
  </si>
  <si>
    <t xml:space="preserve">ben.carter@example.com</t>
  </si>
  <si>
    <t xml:space="preserve">U1002</t>
  </si>
  <si>
    <t xml:space="preserve">chitra.nair@example.com</t>
  </si>
  <si>
    <t xml:space="preserve">U1003</t>
  </si>
  <si>
    <t xml:space="preserve">dev.patel@example.com</t>
  </si>
  <si>
    <t xml:space="preserve">U1004</t>
  </si>
  <si>
    <t xml:space="preserve">farah.khan@example.com</t>
  </si>
  <si>
    <t xml:space="preserve">U1005</t>
  </si>
  <si>
    <t xml:space="preserve">gita.menon@example.com</t>
  </si>
  <si>
    <t xml:space="preserve">U1006</t>
  </si>
  <si>
    <t xml:space="preserve">hiro.tanaka@example.com</t>
  </si>
  <si>
    <t xml:space="preserve">U1007</t>
  </si>
  <si>
    <t xml:space="preserve">isha.sharma@example.com</t>
  </si>
  <si>
    <t xml:space="preserve">U1008</t>
  </si>
  <si>
    <t xml:space="preserve">jon.brooks@example.com</t>
  </si>
  <si>
    <t xml:space="preserve">U1009</t>
  </si>
  <si>
    <t xml:space="preserve">kavya.iyer@example.com</t>
  </si>
  <si>
    <t xml:space="preserve">U1010</t>
  </si>
  <si>
    <t xml:space="preserve">liam.murphy@example.com</t>
  </si>
  <si>
    <t xml:space="preserve">U1011</t>
  </si>
  <si>
    <t xml:space="preserve">meera.das@example.com</t>
  </si>
  <si>
    <t xml:space="preserve">U1012</t>
  </si>
  <si>
    <t xml:space="preserve">nikhil.gupta@example.com</t>
  </si>
  <si>
    <t xml:space="preserve">U1013</t>
  </si>
  <si>
    <t xml:space="preserve">olivia.reed@example.com</t>
  </si>
  <si>
    <t xml:space="preserve">U1014</t>
  </si>
  <si>
    <t xml:space="preserve">quinn.lopez@example.com</t>
  </si>
  <si>
    <t xml:space="preserve">U1015</t>
  </si>
  <si>
    <t xml:space="preserve">rahul.mehta@example.com</t>
  </si>
  <si>
    <t xml:space="preserve">U1016</t>
  </si>
  <si>
    <t xml:space="preserve">sara.cole@example.com</t>
  </si>
  <si>
    <t xml:space="preserve">U1017</t>
  </si>
  <si>
    <t xml:space="preserve">tariq.ali@example.com</t>
  </si>
  <si>
    <t xml:space="preserve">U1018</t>
  </si>
  <si>
    <t xml:space="preserve">uma.joshi@example.com</t>
  </si>
  <si>
    <t xml:space="preserve">U1019</t>
  </si>
  <si>
    <t xml:space="preserve">vikram.bose@example.com</t>
  </si>
  <si>
    <t xml:space="preserve">U1020</t>
  </si>
  <si>
    <t xml:space="preserve">wen.chen@example.com</t>
  </si>
  <si>
    <t xml:space="preserve">U1021</t>
  </si>
  <si>
    <t xml:space="preserve">xavier.fischer@example.com</t>
  </si>
  <si>
    <t xml:space="preserve">U1022</t>
  </si>
  <si>
    <t xml:space="preserve">yara.ahmed@example.com</t>
  </si>
  <si>
    <t xml:space="preserve">U1023</t>
  </si>
  <si>
    <t xml:space="preserve">zane.kapoor@example.com</t>
  </si>
  <si>
    <t xml:space="preserve">U1024</t>
  </si>
  <si>
    <t xml:space="preserve">anil.verma@example.com</t>
  </si>
  <si>
    <t xml:space="preserve">U1025</t>
  </si>
  <si>
    <t xml:space="preserve">bianca.silva@example.com</t>
  </si>
  <si>
    <t xml:space="preserve">U1026</t>
  </si>
  <si>
    <t xml:space="preserve">carlos.nguyen@example.com</t>
  </si>
  <si>
    <t xml:space="preserve">U1027</t>
  </si>
  <si>
    <t xml:space="preserve">divya.reddy@example.com</t>
  </si>
  <si>
    <t xml:space="preserve">U1028</t>
  </si>
  <si>
    <t xml:space="preserve">elena.ortiz@example.com</t>
  </si>
  <si>
    <t xml:space="preserve">U1029</t>
  </si>
  <si>
    <t xml:space="preserve">faisal.hassan@example.com</t>
  </si>
  <si>
    <t xml:space="preserve">U1030</t>
  </si>
  <si>
    <t xml:space="preserve">grace.park@example.com</t>
  </si>
  <si>
    <t xml:space="preserve">U1031</t>
  </si>
  <si>
    <t xml:space="preserve">harsh.malik@example.com</t>
  </si>
  <si>
    <t xml:space="preserve">U1032</t>
  </si>
  <si>
    <t xml:space="preserve">ines.costa@example.com</t>
  </si>
  <si>
    <t xml:space="preserve">U1033</t>
  </si>
  <si>
    <t xml:space="preserve">kiran.bhat@example.com</t>
  </si>
  <si>
    <t xml:space="preserve">U1034</t>
  </si>
  <si>
    <t xml:space="preserve">leela.hughes@example.com</t>
  </si>
  <si>
    <t xml:space="preserve">U1035</t>
  </si>
  <si>
    <t xml:space="preserve">marco.rossi@example.com</t>
  </si>
  <si>
    <t xml:space="preserve">U1036</t>
  </si>
  <si>
    <t xml:space="preserve">nadia.ansari@example.com</t>
  </si>
  <si>
    <t xml:space="preserve">U1037</t>
  </si>
  <si>
    <t xml:space="preserve">omar.pillai@example.com</t>
  </si>
  <si>
    <t xml:space="preserve">U1038</t>
  </si>
  <si>
    <t xml:space="preserve">Learner roster with Session Learning Object IDs</t>
  </si>
  <si>
    <t xml:space="preserve">All 40 enrolled learners. IDs are fictional random placeholders (24+ characters) for this sample.</t>
  </si>
  <si>
    <t xml:space="preserve">Learner Name</t>
  </si>
  <si>
    <t xml:space="preserve">Session Learning Object ID</t>
  </si>
  <si>
    <t xml:space="preserve">ID length</t>
  </si>
  <si>
    <t xml:space="preserve">Asha Rao</t>
  </si>
  <si>
    <t xml:space="preserve">SLO-C48TNNINDEHNOWTC61AI22OQ</t>
  </si>
  <si>
    <t xml:space="preserve">SLO-6VTHIB2TN9QJ3U3LQ2QY1UXV</t>
  </si>
  <si>
    <t xml:space="preserve">Chitra Nair</t>
  </si>
  <si>
    <t xml:space="preserve">SLO-LWIITL49KCF3TU6A69TVTF73SL</t>
  </si>
  <si>
    <t xml:space="preserve">Dev Patel</t>
  </si>
  <si>
    <t xml:space="preserve">SLO-SUYHHFPU1JAUHFGY0J6E</t>
  </si>
  <si>
    <t xml:space="preserve">Farah Khan</t>
  </si>
  <si>
    <t xml:space="preserve">SLO-LNO5VQG7FYLZ5XUA106MSL89F</t>
  </si>
  <si>
    <t xml:space="preserve">Gita Menon</t>
  </si>
  <si>
    <t xml:space="preserve">SLO-SWWPL2886F5M0RGSCGM2C37EY</t>
  </si>
  <si>
    <t xml:space="preserve">Hiro Tanaka</t>
  </si>
  <si>
    <t xml:space="preserve">SLO-81IJJXXUP1UXHJWWXM108VTZ</t>
  </si>
  <si>
    <t xml:space="preserve">Isha Sharma</t>
  </si>
  <si>
    <t xml:space="preserve">SLO-W33OMBD4K367PT6JMN1A4TQLM</t>
  </si>
  <si>
    <t xml:space="preserve">Jon Brooks</t>
  </si>
  <si>
    <t xml:space="preserve">SLO-ERZ1KJAAZKPG06TVX4F3JX</t>
  </si>
  <si>
    <t xml:space="preserve">Kavya Iyer</t>
  </si>
  <si>
    <t xml:space="preserve">SLO-QGI2D0KEJJC3TNWHB6E5KA6</t>
  </si>
  <si>
    <t xml:space="preserve">Liam Murphy</t>
  </si>
  <si>
    <t xml:space="preserve">SLO-AMFK2A87YFF1W7DB19FE1</t>
  </si>
  <si>
    <t xml:space="preserve">Meera Das</t>
  </si>
  <si>
    <t xml:space="preserve">SLO-WEUOILTWKHL2FQNBGEEG1</t>
  </si>
  <si>
    <t xml:space="preserve">Nikhil Gupta</t>
  </si>
  <si>
    <t xml:space="preserve">SLO-M6EZHSQVE2LEEG2EXMVXJ40Y5X</t>
  </si>
  <si>
    <t xml:space="preserve">Olivia Reed</t>
  </si>
  <si>
    <t xml:space="preserve">SLO-L8Q660HBXTS5W66JWE7ZVB</t>
  </si>
  <si>
    <t xml:space="preserve">Priya Singh</t>
  </si>
  <si>
    <t xml:space="preserve">priya.singh@example.com</t>
  </si>
  <si>
    <t xml:space="preserve">Not mapped</t>
  </si>
  <si>
    <t xml:space="preserve">SLO-L23F7L0PGRK1GGVWCBZWFD1V</t>
  </si>
  <si>
    <t xml:space="preserve">Quinn Lopez</t>
  </si>
  <si>
    <t xml:space="preserve">SLO-S2K8JYTD4IPUIFQ6YY8BJJ2</t>
  </si>
  <si>
    <t xml:space="preserve">Rahul Mehta</t>
  </si>
  <si>
    <t xml:space="preserve">SLO-K8BD342MDXRTRPEYSUEKO</t>
  </si>
  <si>
    <t xml:space="preserve">Sara Cole</t>
  </si>
  <si>
    <t xml:space="preserve">SLO-MNQ2YAO6VYOL74N8VP7HBJS8</t>
  </si>
  <si>
    <t xml:space="preserve">SLO-4XB54CJ6QBM2ZEIO7OT9OTG</t>
  </si>
  <si>
    <t xml:space="preserve">Uma Joshi</t>
  </si>
  <si>
    <t xml:space="preserve">SLO-RJ971SNOPYTBYB1FNA3TELB6</t>
  </si>
  <si>
    <t xml:space="preserve">Vikram Bose</t>
  </si>
  <si>
    <t xml:space="preserve">SLO-Z6TM2KJ9DKVWMK7GLRYMW5</t>
  </si>
  <si>
    <t xml:space="preserve">Wen Chen</t>
  </si>
  <si>
    <t xml:space="preserve">SLO-RM17MVCIXVUCZSBVAAGV</t>
  </si>
  <si>
    <t xml:space="preserve">SLO-6GPBIRMAN2HPD7E20NPVJE4</t>
  </si>
  <si>
    <t xml:space="preserve">Yara Ahmed</t>
  </si>
  <si>
    <t xml:space="preserve">SLO-46PSDTQX1EUG0O0VQTWFKK19</t>
  </si>
  <si>
    <t xml:space="preserve">Zane Kapoor</t>
  </si>
  <si>
    <t xml:space="preserve">SLO-6N58EIMC41P123ADUE34NPZ5A</t>
  </si>
  <si>
    <t xml:space="preserve">SLO-RA69DX9HROTFEIB2P89A</t>
  </si>
  <si>
    <t xml:space="preserve">Bianca Silva</t>
  </si>
  <si>
    <t xml:space="preserve">SLO-OKUWGD9D4WDIPON5UK28</t>
  </si>
  <si>
    <t xml:space="preserve">Carlos Nguyen</t>
  </si>
  <si>
    <t xml:space="preserve">SLO-Z1JF2RPF8W0XQ25KF659</t>
  </si>
  <si>
    <t xml:space="preserve">Divya Reddy</t>
  </si>
  <si>
    <t xml:space="preserve">SLO-9ZMWZTOF9F0HRKC8FAZLG0BWZ0</t>
  </si>
  <si>
    <t xml:space="preserve">SLO-QIJ3GVGQ8ST8FRF136RYXL9L</t>
  </si>
  <si>
    <t xml:space="preserve">SLO-OB918VMHNUEFD8QLKA4GDOJD</t>
  </si>
  <si>
    <t xml:space="preserve">Grace Park</t>
  </si>
  <si>
    <t xml:space="preserve">SLO-0OWZ6RUEELX40CXY5HKN6BBEL</t>
  </si>
  <si>
    <t xml:space="preserve">Harsh Malik</t>
  </si>
  <si>
    <t xml:space="preserve">SLO-BWVK621ZK3QLU54J9XY4VAZ3N2</t>
  </si>
  <si>
    <t xml:space="preserve">Ines Costa</t>
  </si>
  <si>
    <t xml:space="preserve">SLO-CGRJR1VP7UVUE3FKSGSW6</t>
  </si>
  <si>
    <t xml:space="preserve">Jamal Khanna</t>
  </si>
  <si>
    <t xml:space="preserve">jamal.khanna@example.com</t>
  </si>
  <si>
    <t xml:space="preserve">SLO-CCSKA21VY21JWRYNBQGO</t>
  </si>
  <si>
    <t xml:space="preserve">SLO-8H70VTYKD3MTTMZCW8W5YF</t>
  </si>
  <si>
    <t xml:space="preserve">SLO-M61KA3YETXSWWO2QM8IW1WUR</t>
  </si>
  <si>
    <t xml:space="preserve">SLO-1NTR2AJOJDILO4L4YLJPZJ7VB</t>
  </si>
  <si>
    <t xml:space="preserve">Nadia Ansari</t>
  </si>
  <si>
    <t xml:space="preserve">SLO-ZB1J585Z0MRVVA3WWWSMN</t>
  </si>
  <si>
    <t xml:space="preserve">SLO-VSIXVAUKOVQNW8DCCEIGKHY</t>
  </si>
  <si>
    <t xml:space="preserve">Minimum ID length in this roster:</t>
  </si>
  <si>
    <t xml:space="preserve">In the real tool, Session Learning Object IDs come from the template or source system and are never generated or guessed.</t>
  </si>
  <si>
    <t xml:space="preserve">Sample input: Attendance Corrections Form (messy, as received)</t>
  </si>
  <si>
    <t xml:space="preserve">Fictional data. Mixed time formats, several breaks in one cell, and invalid rows. Outcome shows what the tool does with each row.</t>
  </si>
  <si>
    <t xml:space="preserve">Learner Email Address</t>
  </si>
  <si>
    <t xml:space="preserve">Date (MM/DD/YYYY)</t>
  </si>
  <si>
    <t xml:space="preserve">Missed Time Start</t>
  </si>
  <si>
    <t xml:space="preserve">Missed Time End</t>
  </si>
  <si>
    <t xml:space="preserve">Comments</t>
  </si>
  <si>
    <t xml:space="preserve">Mapped User ID?</t>
  </si>
  <si>
    <t xml:space="preserve">Missed periods in cell</t>
  </si>
  <si>
    <t xml:space="preserve">10/06/2025</t>
  </si>
  <si>
    <t xml:space="preserve">Joined late, will update</t>
  </si>
  <si>
    <t xml:space="preserve">BEN.CARTER@EXAMPLE.COM</t>
  </si>
  <si>
    <t xml:space="preserve">9:40
11:00</t>
  </si>
  <si>
    <t xml:space="preserve">9:55
12:15</t>
  </si>
  <si>
    <t xml:space="preserve">Platform glitch</t>
  </si>
  <si>
    <t xml:space="preserve">End time not noted</t>
  </si>
  <si>
    <t xml:space="preserve">9:45</t>
  </si>
  <si>
    <t xml:space="preserve">Left early for another meeting</t>
  </si>
  <si>
    <t xml:space="preserve">10:10 AM
3:10 PM</t>
  </si>
  <si>
    <t xml:space="preserve">11:25 AM
3:25 PM</t>
  </si>
  <si>
    <t xml:space="preserve">Audio problem</t>
  </si>
  <si>
    <t xml:space="preserve">PRIYA.SINGH@EXAMPLE.COM</t>
  </si>
  <si>
    <t xml:space="preserve">10/07/2025</t>
  </si>
  <si>
    <t xml:space="preserve">2:10pm</t>
  </si>
  <si>
    <t xml:space="preserve">3:10pm</t>
  </si>
  <si>
    <t xml:space="preserve">2pm</t>
  </si>
  <si>
    <t xml:space="preserve">1pm</t>
  </si>
  <si>
    <t xml:space="preserve">Typed times wrongly</t>
  </si>
  <si>
    <t xml:space="preserve">10:30
14:50</t>
  </si>
  <si>
    <t xml:space="preserve">11:10
15:50</t>
  </si>
  <si>
    <t xml:space="preserve">Rejoined after break</t>
  </si>
  <si>
    <t xml:space="preserve">10/08/2025</t>
  </si>
  <si>
    <t xml:space="preserve">10:50am</t>
  </si>
  <si>
    <t xml:space="preserve">12:05pm</t>
  </si>
  <si>
    <t xml:space="preserve">1:25pm</t>
  </si>
  <si>
    <t xml:space="preserve">2:25pm</t>
  </si>
  <si>
    <t xml:space="preserve">Client call</t>
  </si>
  <si>
    <t xml:space="preserve">2:25 PM</t>
  </si>
  <si>
    <t xml:space="preserve">3:05 PM</t>
  </si>
  <si>
    <t xml:space="preserve">9:20 AM</t>
  </si>
  <si>
    <t xml:space="preserve">9:40 AM</t>
  </si>
  <si>
    <t xml:space="preserve">10/13/2025</t>
  </si>
  <si>
    <t xml:space="preserve">2:30pm</t>
  </si>
  <si>
    <t xml:space="preserve">1:10 PM
3:55 PM</t>
  </si>
  <si>
    <t xml:space="preserve">1:55 PM
4:20 PM</t>
  </si>
  <si>
    <t xml:space="preserve">Excluded User 1</t>
  </si>
  <si>
    <t xml:space="preserve">excluded.user1@example.com</t>
  </si>
  <si>
    <t xml:space="preserve">10:30</t>
  </si>
  <si>
    <t xml:space="preserve">10:10 AM</t>
  </si>
  <si>
    <t xml:space="preserve">10:55 AM</t>
  </si>
  <si>
    <t xml:space="preserve">9:45
13:25</t>
  </si>
  <si>
    <t xml:space="preserve">10:05
13:35</t>
  </si>
  <si>
    <t xml:space="preserve">10/14/2025</t>
  </si>
  <si>
    <t xml:space="preserve">10:20 AM</t>
  </si>
  <si>
    <t xml:space="preserve">Laptop issue</t>
  </si>
  <si>
    <t xml:space="preserve">10/15/2025</t>
  </si>
  <si>
    <t xml:space="preserve">11:55
13:10
15:40</t>
  </si>
  <si>
    <t xml:space="preserve">13:10
13:50
16:10</t>
  </si>
  <si>
    <t xml:space="preserve">Xavier.fischer@example.com</t>
  </si>
  <si>
    <t xml:space="preserve">9:50
11:30
14:50</t>
  </si>
  <si>
    <t xml:space="preserve">10:35
12:15
16:05</t>
  </si>
  <si>
    <t xml:space="preserve">11:10 AM</t>
  </si>
  <si>
    <t xml:space="preserve">11:25 AM</t>
  </si>
  <si>
    <t xml:space="preserve">Connection lost</t>
  </si>
  <si>
    <t xml:space="preserve">10/16/2025</t>
  </si>
  <si>
    <t xml:space="preserve">3:15pm</t>
  </si>
  <si>
    <t xml:space="preserve">3:40pm</t>
  </si>
  <si>
    <t xml:space="preserve">10:15 AM</t>
  </si>
  <si>
    <t xml:space="preserve">11:15 AM</t>
  </si>
  <si>
    <t xml:space="preserve">4 PM</t>
  </si>
  <si>
    <t xml:space="preserve">4:20 PM</t>
  </si>
  <si>
    <t xml:space="preserve">9:10 AM</t>
  </si>
  <si>
    <t xml:space="preserve">9:35 AM</t>
  </si>
  <si>
    <t xml:space="preserve">Excluded User 2</t>
  </si>
  <si>
    <t xml:space="preserve">excluded.user2@example.com</t>
  </si>
  <si>
    <t xml:space="preserve">10/20/2025</t>
  </si>
  <si>
    <t xml:space="preserve">9:40
13:10</t>
  </si>
  <si>
    <t xml:space="preserve">10:00
13:55</t>
  </si>
  <si>
    <t xml:space="preserve">13:05</t>
  </si>
  <si>
    <t xml:space="preserve">14:20</t>
  </si>
  <si>
    <t xml:space="preserve">9:05am</t>
  </si>
  <si>
    <t xml:space="preserve">10:20am</t>
  </si>
  <si>
    <t xml:space="preserve">Will share exact times later</t>
  </si>
  <si>
    <t xml:space="preserve">10/21/2025</t>
  </si>
  <si>
    <t xml:space="preserve">1:45pm</t>
  </si>
  <si>
    <t xml:space="preserve">15:30</t>
  </si>
  <si>
    <t xml:space="preserve">9:00</t>
  </si>
  <si>
    <t xml:space="preserve">11:35am
2:40pm
4:15pm</t>
  </si>
  <si>
    <t xml:space="preserve">11:55am
3:25pm
4:35pm</t>
  </si>
  <si>
    <t xml:space="preserve">10:55am</t>
  </si>
  <si>
    <t xml:space="preserve">11:15am</t>
  </si>
  <si>
    <t xml:space="preserve">Network drop</t>
  </si>
  <si>
    <t xml:space="preserve">10am</t>
  </si>
  <si>
    <t xml:space="preserve">10:30am</t>
  </si>
  <si>
    <t xml:space="preserve">10/22/2025</t>
  </si>
  <si>
    <t xml:space="preserve">11:40
13:40</t>
  </si>
  <si>
    <t xml:space="preserve">12:00
14:55</t>
  </si>
  <si>
    <t xml:space="preserve">9:40am
12pm</t>
  </si>
  <si>
    <t xml:space="preserve">10:40am
12:45pm</t>
  </si>
  <si>
    <t xml:space="preserve">2:45pm</t>
  </si>
  <si>
    <t xml:space="preserve">OMAR.PILLAI@EXAMPLE.COM</t>
  </si>
  <si>
    <t xml:space="preserve">15:15</t>
  </si>
  <si>
    <t xml:space="preserve">15:55</t>
  </si>
  <si>
    <t xml:space="preserve">10/23/2025</t>
  </si>
  <si>
    <t xml:space="preserve"> jamal.khanna@example.com </t>
  </si>
  <si>
    <t xml:space="preserve">4:35pm</t>
  </si>
  <si>
    <t xml:space="preserve">4:55pm</t>
  </si>
  <si>
    <t xml:space="preserve">1:15pm</t>
  </si>
  <si>
    <t xml:space="preserve">1:30pm</t>
  </si>
  <si>
    <t xml:space="preserve">1:15 PM
2:50 PM</t>
  </si>
  <si>
    <t xml:space="preserve">2:30 PM
3:35 PM</t>
  </si>
  <si>
    <t xml:space="preserve">9:50 AM
3:30 PM</t>
  </si>
  <si>
    <t xml:space="preserve">10:35 AM
3:50 PM</t>
  </si>
  <si>
    <t xml:space="preserve"> omar.pillai@example.com </t>
  </si>
  <si>
    <t xml:space="preserve">14:15</t>
  </si>
  <si>
    <t xml:space="preserve">10/24/2025</t>
  </si>
  <si>
    <t xml:space="preserve">12:15
14:10</t>
  </si>
  <si>
    <t xml:space="preserve">12:45
14:50</t>
  </si>
  <si>
    <t xml:space="preserve"> kiran.bhat@example.com </t>
  </si>
  <si>
    <t xml:space="preserve">10am
2:05pm
3:50pm</t>
  </si>
  <si>
    <t xml:space="preserve">10:20am
2:20pm
4:20pm</t>
  </si>
  <si>
    <t xml:space="preserve">Leela.hughes@example.com</t>
  </si>
  <si>
    <t xml:space="preserve">9:55
11:20
16:10</t>
  </si>
  <si>
    <t xml:space="preserve">10:20
11:40
16:40</t>
  </si>
  <si>
    <t xml:space="preserve">11:20
14:05</t>
  </si>
  <si>
    <t xml:space="preserve">11:50
15:20</t>
  </si>
  <si>
    <t xml:space="preserve">Processed missed-time instances (one row per missed period)</t>
  </si>
  <si>
    <t xml:space="preserve">Output of validation, mapping and normalization; the analysis sheets read from this table.</t>
  </si>
  <si>
    <t xml:space="preserve">Date</t>
  </si>
  <si>
    <t xml:space="preserve">Start Time</t>
  </si>
  <si>
    <t xml:space="preserve">End Time</t>
  </si>
  <si>
    <t xml:space="preserve">Session Day #</t>
  </si>
  <si>
    <t xml:space="preserve">Duration (min)</t>
  </si>
  <si>
    <t xml:space="preserve">Start Hour</t>
  </si>
  <si>
    <t xml:space="preserve">Sample output: populated Missed Time template (upload-ready)</t>
  </si>
  <si>
    <t xml:space="preserve">User ID, Session Learning Object ID (sample placeholder, looked up from the Learner Roster) and the two missed time columns.</t>
  </si>
  <si>
    <t xml:space="preserve">Missed Start Time</t>
  </si>
  <si>
    <t xml:space="preserve">Missed End Time</t>
  </si>
  <si>
    <t xml:space="preserve">10/06/2025 09:40</t>
  </si>
  <si>
    <t xml:space="preserve">10/06/2025 09:55</t>
  </si>
  <si>
    <t xml:space="preserve">10/06/2025 11:00</t>
  </si>
  <si>
    <t xml:space="preserve">10/06/2025 12:15</t>
  </si>
  <si>
    <t xml:space="preserve">10/06/2025 09:45</t>
  </si>
  <si>
    <t xml:space="preserve">10/06/2025 10:00</t>
  </si>
  <si>
    <t xml:space="preserve">10/06/2025 10:10</t>
  </si>
  <si>
    <t xml:space="preserve">10/06/2025 11:25</t>
  </si>
  <si>
    <t xml:space="preserve">10/06/2025 15:10</t>
  </si>
  <si>
    <t xml:space="preserve">10/06/2025 15:25</t>
  </si>
  <si>
    <t xml:space="preserve">10/07/2025 10:30</t>
  </si>
  <si>
    <t xml:space="preserve">10/07/2025 11:10</t>
  </si>
  <si>
    <t xml:space="preserve">10/07/2025 14:50</t>
  </si>
  <si>
    <t xml:space="preserve">10/07/2025 15:50</t>
  </si>
  <si>
    <t xml:space="preserve">10/08/2025 10:50</t>
  </si>
  <si>
    <t xml:space="preserve">10/08/2025 12:05</t>
  </si>
  <si>
    <t xml:space="preserve">10/08/2025 13:25</t>
  </si>
  <si>
    <t xml:space="preserve">10/08/2025 14:25</t>
  </si>
  <si>
    <t xml:space="preserve">10/08/2025 09:20</t>
  </si>
  <si>
    <t xml:space="preserve">10/08/2025 09:40</t>
  </si>
  <si>
    <t xml:space="preserve">10/13/2025 14:00</t>
  </si>
  <si>
    <t xml:space="preserve">10/13/2025 14:30</t>
  </si>
  <si>
    <t xml:space="preserve">10/13/2025 13:10</t>
  </si>
  <si>
    <t xml:space="preserve">10/13/2025 13:55</t>
  </si>
  <si>
    <t xml:space="preserve">10/13/2025 15:55</t>
  </si>
  <si>
    <t xml:space="preserve">10/13/2025 16:20</t>
  </si>
  <si>
    <t xml:space="preserve">10/13/2025 10:10</t>
  </si>
  <si>
    <t xml:space="preserve">10/13/2025 10:55</t>
  </si>
  <si>
    <t xml:space="preserve">10/13/2025 09:45</t>
  </si>
  <si>
    <t xml:space="preserve">10/13/2025 10:05</t>
  </si>
  <si>
    <t xml:space="preserve">10/13/2025 13:25</t>
  </si>
  <si>
    <t xml:space="preserve">10/13/2025 13:35</t>
  </si>
  <si>
    <t xml:space="preserve">10/14/2025 09:40</t>
  </si>
  <si>
    <t xml:space="preserve">10/14/2025 10:20</t>
  </si>
  <si>
    <t xml:space="preserve">10/15/2025 11:55</t>
  </si>
  <si>
    <t xml:space="preserve">10/15/2025 13:10</t>
  </si>
  <si>
    <t xml:space="preserve">10/15/2025 13:50</t>
  </si>
  <si>
    <t xml:space="preserve">10/15/2025 15:40</t>
  </si>
  <si>
    <t xml:space="preserve">10/15/2025 16:10</t>
  </si>
  <si>
    <t xml:space="preserve">10/15/2025 09:50</t>
  </si>
  <si>
    <t xml:space="preserve">10/15/2025 10:35</t>
  </si>
  <si>
    <t xml:space="preserve">10/15/2025 11:30</t>
  </si>
  <si>
    <t xml:space="preserve">10/15/2025 12:15</t>
  </si>
  <si>
    <t xml:space="preserve">10/15/2025 14:50</t>
  </si>
  <si>
    <t xml:space="preserve">10/15/2025 16:05</t>
  </si>
  <si>
    <t xml:space="preserve">10/15/2025 11:10</t>
  </si>
  <si>
    <t xml:space="preserve">10/15/2025 11:25</t>
  </si>
  <si>
    <t xml:space="preserve">10/16/2025 15:15</t>
  </si>
  <si>
    <t xml:space="preserve">10/16/2025 15:40</t>
  </si>
  <si>
    <t xml:space="preserve">10/16/2025 10:15</t>
  </si>
  <si>
    <t xml:space="preserve">10/16/2025 11:15</t>
  </si>
  <si>
    <t xml:space="preserve">10/16/2025 16:00</t>
  </si>
  <si>
    <t xml:space="preserve">10/16/2025 16:20</t>
  </si>
  <si>
    <t xml:space="preserve">10/16/2025 09:10</t>
  </si>
  <si>
    <t xml:space="preserve">10/16/2025 09:35</t>
  </si>
  <si>
    <t xml:space="preserve">10/20/2025 09:40</t>
  </si>
  <si>
    <t xml:space="preserve">10/20/2025 10:00</t>
  </si>
  <si>
    <t xml:space="preserve">10/20/2025 13:10</t>
  </si>
  <si>
    <t xml:space="preserve">10/20/2025 13:55</t>
  </si>
  <si>
    <t xml:space="preserve">10/20/2025 13:05</t>
  </si>
  <si>
    <t xml:space="preserve">10/20/2025 14:20</t>
  </si>
  <si>
    <t xml:space="preserve">10/20/2025 09:05</t>
  </si>
  <si>
    <t xml:space="preserve">10/20/2025 10:20</t>
  </si>
  <si>
    <t xml:space="preserve">10/21/2025 13:45</t>
  </si>
  <si>
    <t xml:space="preserve">10/21/2025 14:25</t>
  </si>
  <si>
    <t xml:space="preserve">10/21/2025 11:35</t>
  </si>
  <si>
    <t xml:space="preserve">10/21/2025 11:55</t>
  </si>
  <si>
    <t xml:space="preserve">10/21/2025 14:40</t>
  </si>
  <si>
    <t xml:space="preserve">10/21/2025 15:25</t>
  </si>
  <si>
    <t xml:space="preserve">10/21/2025 16:15</t>
  </si>
  <si>
    <t xml:space="preserve">10/21/2025 16:35</t>
  </si>
  <si>
    <t xml:space="preserve">10/21/2025 10:55</t>
  </si>
  <si>
    <t xml:space="preserve">10/21/2025 11:15</t>
  </si>
  <si>
    <t xml:space="preserve">10/21/2025 10:00</t>
  </si>
  <si>
    <t xml:space="preserve">10/21/2025 10:30</t>
  </si>
  <si>
    <t xml:space="preserve">10/22/2025 11:40</t>
  </si>
  <si>
    <t xml:space="preserve">10/22/2025 12:00</t>
  </si>
  <si>
    <t xml:space="preserve">10/22/2025 13:40</t>
  </si>
  <si>
    <t xml:space="preserve">10/22/2025 14:55</t>
  </si>
  <si>
    <t xml:space="preserve">10/22/2025 09:40</t>
  </si>
  <si>
    <t xml:space="preserve">10/22/2025 10:40</t>
  </si>
  <si>
    <t xml:space="preserve">10/22/2025 12:45</t>
  </si>
  <si>
    <t xml:space="preserve">10/22/2025 14:30</t>
  </si>
  <si>
    <t xml:space="preserve">10/22/2025 14:45</t>
  </si>
  <si>
    <t xml:space="preserve">10/22/2025 14:20</t>
  </si>
  <si>
    <t xml:space="preserve">10/22/2025 15:00</t>
  </si>
  <si>
    <t xml:space="preserve">10/22/2025 15:15</t>
  </si>
  <si>
    <t xml:space="preserve">10/22/2025 15:55</t>
  </si>
  <si>
    <t xml:space="preserve">10/23/2025 13:15</t>
  </si>
  <si>
    <t xml:space="preserve">10/23/2025 13:30</t>
  </si>
  <si>
    <t xml:space="preserve">10/23/2025 14:30</t>
  </si>
  <si>
    <t xml:space="preserve">10/23/2025 14:50</t>
  </si>
  <si>
    <t xml:space="preserve">10/23/2025 15:35</t>
  </si>
  <si>
    <t xml:space="preserve">10/23/2025 09:50</t>
  </si>
  <si>
    <t xml:space="preserve">10/23/2025 10:35</t>
  </si>
  <si>
    <t xml:space="preserve">10/23/2025 15:30</t>
  </si>
  <si>
    <t xml:space="preserve">10/23/2025 15:50</t>
  </si>
  <si>
    <t xml:space="preserve">10/23/2025 14:15</t>
  </si>
  <si>
    <t xml:space="preserve">10/24/2025 10:00</t>
  </si>
  <si>
    <t xml:space="preserve">10/24/2025 10:20</t>
  </si>
  <si>
    <t xml:space="preserve">10/24/2025 14:05</t>
  </si>
  <si>
    <t xml:space="preserve">10/24/2025 14:20</t>
  </si>
  <si>
    <t xml:space="preserve">10/24/2025 15:50</t>
  </si>
  <si>
    <t xml:space="preserve">10/24/2025 16:20</t>
  </si>
  <si>
    <t xml:space="preserve">10/24/2025 09:55</t>
  </si>
  <si>
    <t xml:space="preserve">10/24/2025 11:20</t>
  </si>
  <si>
    <t xml:space="preserve">10/24/2025 11:40</t>
  </si>
  <si>
    <t xml:space="preserve">10/24/2025 16:10</t>
  </si>
  <si>
    <t xml:space="preserve">10/24/2025 16:40</t>
  </si>
  <si>
    <t xml:space="preserve">10/24/2025 11:50</t>
  </si>
  <si>
    <t xml:space="preserve">10/24/2025 15:20</t>
  </si>
  <si>
    <t xml:space="preserve">Validation report (grouped by learner)</t>
  </si>
  <si>
    <t xml:space="preserve">Missed times merged chronologically as comma-separated values</t>
  </si>
  <si>
    <t xml:space="preserve">Total learners processed</t>
  </si>
  <si>
    <t xml:space="preserve">Total missed instances identified</t>
  </si>
  <si>
    <t xml:space="preserve">Max instances for one learner</t>
  </si>
  <si>
    <t xml:space="preserve">Missed Start Times</t>
  </si>
  <si>
    <t xml:space="preserve">Missed End Times</t>
  </si>
  <si>
    <t xml:space="preserve">Missed Instance Count</t>
  </si>
  <si>
    <t xml:space="preserve">Total Missed Minutes</t>
  </si>
  <si>
    <t xml:space="preserve">10/06/2025 09:40, 10/06/2025 11:00</t>
  </si>
  <si>
    <t xml:space="preserve">10/06/2025 09:55, 10/06/2025 12:15</t>
  </si>
  <si>
    <t xml:space="preserve">10/06/2025 10:10, 10/06/2025 15:10</t>
  </si>
  <si>
    <t xml:space="preserve">10/06/2025 11:25, 10/06/2025 15:25</t>
  </si>
  <si>
    <t xml:space="preserve">10/07/2025 10:30, 10/07/2025 14:50, 10/08/2025 09:20</t>
  </si>
  <si>
    <t xml:space="preserve">10/07/2025 11:10, 10/07/2025 15:50, 10/08/2025 09:40</t>
  </si>
  <si>
    <t xml:space="preserve">10/15/2025 11:55, 10/15/2025 13:10, 10/15/2025 15:40, 10/16/2025 15:15</t>
  </si>
  <si>
    <t xml:space="preserve">10/15/2025 13:10, 10/15/2025 13:50, 10/15/2025 16:10, 10/16/2025 15:40</t>
  </si>
  <si>
    <t xml:space="preserve">10/13/2025 13:10, 10/13/2025 15:55, 10/16/2025 16:00</t>
  </si>
  <si>
    <t xml:space="preserve">10/13/2025 13:55, 10/13/2025 16:20, 10/16/2025 16:20</t>
  </si>
  <si>
    <t xml:space="preserve">10/13/2025 10:10, 10/16/2025 09:10</t>
  </si>
  <si>
    <t xml:space="preserve">10/13/2025 10:55, 10/16/2025 09:35</t>
  </si>
  <si>
    <t xml:space="preserve">10/15/2025 09:50, 10/15/2025 11:30, 10/15/2025 14:50</t>
  </si>
  <si>
    <t xml:space="preserve">10/15/2025 10:35, 10/15/2025 12:15, 10/15/2025 16:05</t>
  </si>
  <si>
    <t xml:space="preserve">10/13/2025 09:45, 10/13/2025 13:25</t>
  </si>
  <si>
    <t xml:space="preserve">10/13/2025 10:05, 10/13/2025 13:35</t>
  </si>
  <si>
    <t xml:space="preserve">10/20/2025 09:40, 10/20/2025 13:10, 10/21/2025 13:45, 10/22/2025 11:40, 10/22/2025 13:40</t>
  </si>
  <si>
    <t xml:space="preserve">10/20/2025 10:00, 10/20/2025 13:55, 10/21/2025 14:25, 10/22/2025 12:00, 10/22/2025 14:55</t>
  </si>
  <si>
    <t xml:space="preserve">10/21/2025 11:35, 10/21/2025 14:40, 10/21/2025 16:15, 10/22/2025 09:40, 10/22/2025 12:00, 10/24/2025 10:00, 10/24/2025 14:05, 10/24/2025 15:50</t>
  </si>
  <si>
    <t xml:space="preserve">10/21/2025 11:55, 10/21/2025 15:25, 10/21/2025 16:35, 10/22/2025 10:40, 10/22/2025 12:45, 10/24/2025 10:20, 10/24/2025 14:20, 10/24/2025 16:20</t>
  </si>
  <si>
    <t xml:space="preserve">10/22/2025 14:30, 10/23/2025 13:15, 10/24/2025 09:55, 10/24/2025 11:20, 10/24/2025 16:10</t>
  </si>
  <si>
    <t xml:space="preserve">10/22/2025 14:45, 10/23/2025 13:30, 10/24/2025 10:20, 10/24/2025 11:40, 10/24/2025 16:40</t>
  </si>
  <si>
    <t xml:space="preserve">10/22/2025 14:20, 10/23/2025 13:15, 10/23/2025 14:50</t>
  </si>
  <si>
    <t xml:space="preserve">10/22/2025 15:00, 10/23/2025 14:30, 10/23/2025 15:35</t>
  </si>
  <si>
    <t xml:space="preserve">10/21/2025 10:55, 10/23/2025 09:50, 10/23/2025 15:30</t>
  </si>
  <si>
    <t xml:space="preserve">10/21/2025 11:15, 10/23/2025 10:35, 10/23/2025 15:50</t>
  </si>
  <si>
    <t xml:space="preserve">10/21/2025 10:00, 10/22/2025 15:15, 10/23/2025 14:15, 10/24/2025 11:20, 10/24/2025 14:05</t>
  </si>
  <si>
    <t xml:space="preserve">10/21/2025 10:30, 10/22/2025 15:55, 10/23/2025 15:30, 10/24/2025 11:50, 10/24/2025 15:20</t>
  </si>
  <si>
    <t xml:space="preserve">Daily breakdown: missed time for each day separately</t>
  </si>
  <si>
    <t xml:space="preserve">One row per learner per session day. Times within a day are comma-separated and in upload format (MM/DD/YYYY HH:MM).</t>
  </si>
  <si>
    <t xml:space="preserve">Missed periods</t>
  </si>
  <si>
    <t xml:space="preserve">10/07/2025 10:30, 10/07/2025 14:50</t>
  </si>
  <si>
    <t xml:space="preserve">10/07/2025 11:10, 10/07/2025 15:50</t>
  </si>
  <si>
    <t xml:space="preserve">10/15/2025 11:55, 10/15/2025 13:10, 10/15/2025 15:40</t>
  </si>
  <si>
    <t xml:space="preserve">10/15/2025 13:10, 10/15/2025 13:50, 10/15/2025 16:10</t>
  </si>
  <si>
    <t xml:space="preserve">10/13/2025 13:10, 10/13/2025 15:55</t>
  </si>
  <si>
    <t xml:space="preserve">10/13/2025 13:55, 10/13/2025 16:20</t>
  </si>
  <si>
    <t xml:space="preserve">10/20/2025 09:40, 10/20/2025 13:10</t>
  </si>
  <si>
    <t xml:space="preserve">10/20/2025 10:00, 10/20/2025 13:55</t>
  </si>
  <si>
    <t xml:space="preserve">10/22/2025 11:40, 10/22/2025 13:40</t>
  </si>
  <si>
    <t xml:space="preserve">10/22/2025 12:00, 10/22/2025 14:55</t>
  </si>
  <si>
    <t xml:space="preserve">10/21/2025 11:35, 10/21/2025 14:40, 10/21/2025 16:15</t>
  </si>
  <si>
    <t xml:space="preserve">10/21/2025 11:55, 10/21/2025 15:25, 10/21/2025 16:35</t>
  </si>
  <si>
    <t xml:space="preserve">10/22/2025 09:40, 10/22/2025 12:00</t>
  </si>
  <si>
    <t xml:space="preserve">10/22/2025 10:40, 10/22/2025 12:45</t>
  </si>
  <si>
    <t xml:space="preserve">10/24/2025 10:00, 10/24/2025 14:05, 10/24/2025 15:50</t>
  </si>
  <si>
    <t xml:space="preserve">10/24/2025 10:20, 10/24/2025 14:20, 10/24/2025 16:20</t>
  </si>
  <si>
    <t xml:space="preserve">10/24/2025 09:55, 10/24/2025 11:20, 10/24/2025 16:10</t>
  </si>
  <si>
    <t xml:space="preserve">10/24/2025 10:20, 10/24/2025 11:40, 10/24/2025 16:40</t>
  </si>
  <si>
    <t xml:space="preserve">10/23/2025 13:15, 10/23/2025 14:50</t>
  </si>
  <si>
    <t xml:space="preserve">10/23/2025 14:30, 10/23/2025 15:35</t>
  </si>
  <si>
    <t xml:space="preserve">10/23/2025 09:50, 10/23/2025 15:30</t>
  </si>
  <si>
    <t xml:space="preserve">10/23/2025 10:35, 10/23/2025 15:50</t>
  </si>
  <si>
    <t xml:space="preserve">10/24/2025 11:20, 10/24/2025 14:05</t>
  </si>
  <si>
    <t xml:space="preserve">10/24/2025 11:50, 10/24/2025 15:20</t>
  </si>
  <si>
    <t xml:space="preserve">Daily matrix: missed start and end time for every day, side by side</t>
  </si>
  <si>
    <t xml:space="preserve">Times shown as HH:MM. A dash means no missed time that day; grey cells are days outside the learner's program.</t>
  </si>
  <si>
    <t xml:space="preserve">Day 1 Start</t>
  </si>
  <si>
    <t xml:space="preserve">Day 1 End</t>
  </si>
  <si>
    <t xml:space="preserve">Day 2 Start</t>
  </si>
  <si>
    <t xml:space="preserve">Day 2 End</t>
  </si>
  <si>
    <t xml:space="preserve">Day 3 Start</t>
  </si>
  <si>
    <t xml:space="preserve">Day 3 End</t>
  </si>
  <si>
    <t xml:space="preserve">Day 4 Start</t>
  </si>
  <si>
    <t xml:space="preserve">Day 4 End</t>
  </si>
  <si>
    <t xml:space="preserve">Day 5 Start</t>
  </si>
  <si>
    <t xml:space="preserve">Day 5 End</t>
  </si>
  <si>
    <t xml:space="preserve">Total minutes</t>
  </si>
  <si>
    <t xml:space="preserve">09:40, 11:00</t>
  </si>
  <si>
    <t xml:space="preserve">09:55, 12:15</t>
  </si>
  <si>
    <t xml:space="preserve">09:45</t>
  </si>
  <si>
    <t xml:space="preserve">10:10, 15:10</t>
  </si>
  <si>
    <t xml:space="preserve">11:25, 15:25</t>
  </si>
  <si>
    <t xml:space="preserve">–</t>
  </si>
  <si>
    <t xml:space="preserve">10:50</t>
  </si>
  <si>
    <t xml:space="preserve">12:05</t>
  </si>
  <si>
    <t xml:space="preserve">13:25</t>
  </si>
  <si>
    <t xml:space="preserve">14:25</t>
  </si>
  <si>
    <t xml:space="preserve">10:30, 14:50</t>
  </si>
  <si>
    <t xml:space="preserve">11:10, 15:50</t>
  </si>
  <si>
    <t xml:space="preserve">09:20</t>
  </si>
  <si>
    <t xml:space="preserve">09:40</t>
  </si>
  <si>
    <t xml:space="preserve">11:55, 13:10, 15:40</t>
  </si>
  <si>
    <t xml:space="preserve">13:10, 13:50, 16:10</t>
  </si>
  <si>
    <t xml:space="preserve">15:40</t>
  </si>
  <si>
    <t xml:space="preserve">14:30</t>
  </si>
  <si>
    <t xml:space="preserve">10:15</t>
  </si>
  <si>
    <t xml:space="preserve">11:15</t>
  </si>
  <si>
    <t xml:space="preserve">13:10, 15:55</t>
  </si>
  <si>
    <t xml:space="preserve">13:55, 16:20</t>
  </si>
  <si>
    <t xml:space="preserve">16:20</t>
  </si>
  <si>
    <t xml:space="preserve">10:10</t>
  </si>
  <si>
    <t xml:space="preserve">10:55</t>
  </si>
  <si>
    <t xml:space="preserve">09:10</t>
  </si>
  <si>
    <t xml:space="preserve">09:35</t>
  </si>
  <si>
    <t xml:space="preserve">10:20</t>
  </si>
  <si>
    <t xml:space="preserve">09:50, 11:30, 14:50</t>
  </si>
  <si>
    <t xml:space="preserve">10:35, 12:15, 16:05</t>
  </si>
  <si>
    <t xml:space="preserve">09:45, 13:25</t>
  </si>
  <si>
    <t xml:space="preserve">10:05, 13:35</t>
  </si>
  <si>
    <t xml:space="preserve">11:10</t>
  </si>
  <si>
    <t xml:space="preserve">11:25</t>
  </si>
  <si>
    <t xml:space="preserve">09:40, 13:10</t>
  </si>
  <si>
    <t xml:space="preserve">10:00, 13:55</t>
  </si>
  <si>
    <t xml:space="preserve">13:45</t>
  </si>
  <si>
    <t xml:space="preserve">11:40, 13:40</t>
  </si>
  <si>
    <t xml:space="preserve">12:00, 14:55</t>
  </si>
  <si>
    <t xml:space="preserve">09:05</t>
  </si>
  <si>
    <t xml:space="preserve">11:35, 14:40, 16:15</t>
  </si>
  <si>
    <t xml:space="preserve">11:55, 15:25, 16:35</t>
  </si>
  <si>
    <t xml:space="preserve">09:40, 12:00</t>
  </si>
  <si>
    <t xml:space="preserve">10:40, 12:45</t>
  </si>
  <si>
    <t xml:space="preserve">10:00, 14:05, 15:50</t>
  </si>
  <si>
    <t xml:space="preserve">10:20, 14:20, 16:20</t>
  </si>
  <si>
    <t xml:space="preserve">14:45</t>
  </si>
  <si>
    <t xml:space="preserve">13:15</t>
  </si>
  <si>
    <t xml:space="preserve">13:30</t>
  </si>
  <si>
    <t xml:space="preserve">09:55, 11:20, 16:10</t>
  </si>
  <si>
    <t xml:space="preserve">10:20, 11:40, 16:40</t>
  </si>
  <si>
    <t xml:space="preserve">13:15, 14:50</t>
  </si>
  <si>
    <t xml:space="preserve">14:30, 15:35</t>
  </si>
  <si>
    <t xml:space="preserve">09:50, 15:30</t>
  </si>
  <si>
    <t xml:space="preserve">10:35, 15:50</t>
  </si>
  <si>
    <t xml:space="preserve">11:20, 14:05</t>
  </si>
  <si>
    <t xml:space="preserve">11:50, 15:20</t>
  </si>
  <si>
    <t xml:space="preserve">Impact: manual vs automated</t>
  </si>
  <si>
    <t xml:space="preserve">Time per run</t>
  </si>
  <si>
    <t xml:space="preserve">Unit / Note</t>
  </si>
  <si>
    <t xml:space="preserve">Manual processing time</t>
  </si>
  <si>
    <t xml:space="preserve">minutes (approx., provided by project owner)</t>
  </si>
  <si>
    <t xml:space="preserve">Automated processing time</t>
  </si>
  <si>
    <t xml:space="preserve">seconds (approx., provided by project owner)</t>
  </si>
  <si>
    <t xml:space="preserve">Automated time in minutes</t>
  </si>
  <si>
    <t xml:space="preserve">minutes</t>
  </si>
  <si>
    <t xml:space="preserve">Time saved per run</t>
  </si>
  <si>
    <t xml:space="preserve">Reduction in processing time</t>
  </si>
  <si>
    <t xml:space="preserve">percent</t>
  </si>
  <si>
    <t xml:space="preserve">Blue cells are inputs. The time figures describe the original form-processing task as reported by the project owner.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</si>
</sst>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"/>
    <numFmt numFmtId="167" formatCode="0%"/>
    <numFmt numFmtId="168" formatCode="0.0"/>
    <numFmt numFmtId="169" formatCode="0.00"/>
    <numFmt numFmtId="170" formatCode="mm/dd/yyyy"/>
    <numFmt numFmtId="171" formatCode="hh:mm"/>
    <numFmt numFmtId="172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theme="1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CE4D6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8FAADC"/>
      <rgbColor rgb="FF993366"/>
      <rgbColor rgb="FFEDEDED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Data quality: fate of each form row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Analysis!C49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2f5597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Analysis!$A$50:$A$55</c:f>
              <c:strCache>
                <c:ptCount val="6"/>
                <c:pt idx="0">
                  <c:v>Valid</c:v>
                </c:pt>
                <c:pt idx="1">
                  <c:v>Missing end time</c:v>
                </c:pt>
                <c:pt idx="2">
                  <c:v>Comments only</c:v>
                </c:pt>
                <c:pt idx="3">
                  <c:v>On exclusion list</c:v>
                </c:pt>
                <c:pt idx="4">
                  <c:v>End before start</c:v>
                </c:pt>
                <c:pt idx="5">
                  <c:v>No User ID</c:v>
                </c:pt>
              </c:strCache>
            </c:strRef>
          </c:cat>
          <c:val>
            <c:numRef>
              <c:f>Analysis!$C$50:$C$55</c:f>
              <c:numCache>
                <c:formatCode>General</c:formatCode>
                <c:ptCount val="6"/>
                <c:pt idx="0">
                  <c:v>38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</c:ser>
        <c:gapWidth val="150"/>
        <c:overlap val="0"/>
        <c:axId val="21294461"/>
        <c:axId val="66599152"/>
      </c:barChart>
      <c:catAx>
        <c:axId val="2129446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99152"/>
        <c:crosses val="autoZero"/>
        <c:auto val="1"/>
        <c:lblAlgn val="ctr"/>
        <c:lblOffset val="100"/>
        <c:noMultiLvlLbl val="0"/>
      </c:catAx>
      <c:valAx>
        <c:axId val="66599152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944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Missed instances by session day and program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Analysis!C13</c:f>
              <c:strCache>
                <c:ptCount val="1"/>
                <c:pt idx="0">
                  <c:v>1-Day Workshop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Analysis!$A$14:$A$18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Analysis!$C$14:$C$18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Analysis!D13</c:f>
              <c:strCache>
                <c:ptCount val="1"/>
                <c:pt idx="0">
                  <c:v>2-Day Bootcamp</c:v>
                </c:pt>
              </c:strCache>
            </c:strRef>
          </c:tx>
          <c:spPr>
            <a:solidFill>
              <a:srgbClr val="8faadc"/>
            </a:solidFill>
            <a:ln w="9360">
              <a:solidFill>
                <a:srgbClr val="8faadc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Analysis!$A$14:$A$18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Analysis!$D$14:$D$18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Analysis!E13</c:f>
              <c:strCache>
                <c:ptCount val="1"/>
                <c:pt idx="0">
                  <c:v>4-Day Program</c:v>
                </c:pt>
              </c:strCache>
            </c:strRef>
          </c:tx>
          <c:spPr>
            <a:solidFill>
              <a:srgbClr val="c55a11"/>
            </a:solidFill>
            <a:ln w="9360">
              <a:solidFill>
                <a:srgbClr val="c55a11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Analysis!$A$14:$A$18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Analysis!$E$14:$E$18</c:f>
              <c:numCache>
                <c:formatCode>General</c:formatCode>
                <c:ptCount val="5"/>
                <c:pt idx="0">
                  <c:v>6</c:v>
                </c:pt>
                <c:pt idx="1">
                  <c:v>1</c:v>
                </c:pt>
                <c:pt idx="2">
                  <c:v>7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Analysis!F13</c:f>
              <c:strCache>
                <c:ptCount val="1"/>
                <c:pt idx="0">
                  <c:v>5-Day Academy</c:v>
                </c:pt>
              </c:strCache>
            </c:strRef>
          </c:tx>
          <c:spPr>
            <a:solidFill>
              <a:srgbClr val="548235"/>
            </a:solidFill>
            <a:ln w="9360">
              <a:solidFill>
                <a:srgbClr val="548235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Analysis!$A$14:$A$18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Analysis!$F$14:$F$18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6</c:v>
                </c:pt>
                <c:pt idx="4">
                  <c:v>8</c:v>
                </c:pt>
              </c:numCache>
            </c:numRef>
          </c:val>
        </c:ser>
        <c:gapWidth val="150"/>
        <c:overlap val="100"/>
        <c:axId val="36439876"/>
        <c:axId val="97934122"/>
      </c:barChart>
      <c:catAx>
        <c:axId val="364398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34122"/>
        <c:crosses val="autoZero"/>
        <c:auto val="1"/>
        <c:lblAlgn val="ctr"/>
        <c:lblOffset val="100"/>
        <c:noMultiLvlLbl val="0"/>
      </c:catAx>
      <c:valAx>
        <c:axId val="9793412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Instances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398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missed minutes by program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Analysis!G4</c:f>
              <c:strCache>
                <c:ptCount val="1"/>
                <c:pt idx="0">
                  <c:v>Missed minutes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2f5597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Analysis!$A$5:$A$8</c:f>
              <c:strCache>
                <c:ptCount val="4"/>
                <c:pt idx="0">
                  <c:v>1-Day Workshop</c:v>
                </c:pt>
                <c:pt idx="1">
                  <c:v>2-Day Bootcamp</c:v>
                </c:pt>
                <c:pt idx="2">
                  <c:v>4-Day Program</c:v>
                </c:pt>
                <c:pt idx="3">
                  <c:v>5-Day Academy</c:v>
                </c:pt>
              </c:strCache>
            </c:strRef>
          </c:cat>
          <c:val>
            <c:numRef>
              <c:f>Analysis!$G$5:$G$8</c:f>
              <c:numCache>
                <c:formatCode>General</c:formatCode>
                <c:ptCount val="4"/>
                <c:pt idx="0">
                  <c:v>195</c:v>
                </c:pt>
                <c:pt idx="1">
                  <c:v>255</c:v>
                </c:pt>
                <c:pt idx="2">
                  <c:v>670</c:v>
                </c:pt>
                <c:pt idx="3">
                  <c:v>1205</c:v>
                </c:pt>
              </c:numCache>
            </c:numRef>
          </c:val>
        </c:ser>
        <c:gapWidth val="150"/>
        <c:overlap val="0"/>
        <c:axId val="86438166"/>
        <c:axId val="66898935"/>
      </c:barChart>
      <c:catAx>
        <c:axId val="864381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98935"/>
        <c:crosses val="autoZero"/>
        <c:auto val="1"/>
        <c:lblAlgn val="ctr"/>
        <c:lblOffset val="100"/>
        <c:noMultiLvlLbl val="0"/>
      </c:catAx>
      <c:valAx>
        <c:axId val="6689893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381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of enrolled learners with missed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Analysis!E4</c:f>
              <c:strCache>
                <c:ptCount val="1"/>
                <c:pt idx="0">
                  <c:v>% learners affected</c:v>
                </c:pt>
              </c:strCache>
            </c:strRef>
          </c:tx>
          <c:spPr>
            <a:solidFill>
              <a:srgbClr val="c55a11"/>
            </a:solidFill>
            <a:ln w="9360">
              <a:solidFill>
                <a:srgbClr val="c55a11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Analysis!$A$5:$A$8</c:f>
              <c:strCache>
                <c:ptCount val="4"/>
                <c:pt idx="0">
                  <c:v>1-Day Workshop</c:v>
                </c:pt>
                <c:pt idx="1">
                  <c:v>2-Day Bootcamp</c:v>
                </c:pt>
                <c:pt idx="2">
                  <c:v>4-Day Program</c:v>
                </c:pt>
                <c:pt idx="3">
                  <c:v>5-Day Academy</c:v>
                </c:pt>
              </c:strCache>
            </c:strRef>
          </c:cat>
          <c:val>
            <c:numRef>
              <c:f>Analysis!$E$5:$E$8</c:f>
              <c:numCache>
                <c:formatCode>0%</c:formatCode>
                <c:ptCount val="4"/>
                <c:pt idx="0">
                  <c:v>0.3</c:v>
                </c:pt>
                <c:pt idx="1">
                  <c:v>0.3</c:v>
                </c:pt>
                <c:pt idx="2">
                  <c:v>0.9</c:v>
                </c:pt>
                <c:pt idx="3">
                  <c:v>0.8</c:v>
                </c:pt>
              </c:numCache>
            </c:numRef>
          </c:val>
        </c:ser>
        <c:gapWidth val="150"/>
        <c:overlap val="0"/>
        <c:axId val="32911412"/>
        <c:axId val="1566511"/>
      </c:barChart>
      <c:catAx>
        <c:axId val="329114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6511"/>
        <c:crosses val="autoZero"/>
        <c:auto val="1"/>
        <c:lblAlgn val="ctr"/>
        <c:lblOffset val="100"/>
        <c:noMultiLvlLbl val="0"/>
      </c:catAx>
      <c:valAx>
        <c:axId val="1566511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learners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114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When missed time starts (hour of 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Analysis!C22</c:f>
              <c:strCache>
                <c:ptCount val="1"/>
                <c:pt idx="0">
                  <c:v>Missed instances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2f5597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Analysis!$A$23:$A$30</c:f>
              <c:strCache>
                <c:ptCount val="8"/>
                <c:pt idx="0">
                  <c:v>09:00</c:v>
                </c:pt>
                <c:pt idx="1">
                  <c:v>10:00</c:v>
                </c:pt>
                <c:pt idx="2">
                  <c:v>11:00</c:v>
                </c:pt>
                <c:pt idx="3">
                  <c:v>12:00</c:v>
                </c:pt>
                <c:pt idx="4">
                  <c:v>13:00</c:v>
                </c:pt>
                <c:pt idx="5">
                  <c:v>14:00</c:v>
                </c:pt>
                <c:pt idx="6">
                  <c:v>15:00</c:v>
                </c:pt>
                <c:pt idx="7">
                  <c:v>16:00</c:v>
                </c:pt>
              </c:strCache>
            </c:strRef>
          </c:cat>
          <c:val>
            <c:numRef>
              <c:f>Analysis!$C$23:$C$30</c:f>
              <c:numCache>
                <c:formatCode>General</c:formatCode>
                <c:ptCount val="8"/>
                <c:pt idx="0">
                  <c:v>12</c:v>
                </c:pt>
                <c:pt idx="1">
                  <c:v>8</c:v>
                </c:pt>
                <c:pt idx="2">
                  <c:v>8</c:v>
                </c:pt>
                <c:pt idx="3">
                  <c:v>1</c:v>
                </c:pt>
                <c:pt idx="4">
                  <c:v>10</c:v>
                </c:pt>
                <c:pt idx="5">
                  <c:v>10</c:v>
                </c:pt>
                <c:pt idx="6">
                  <c:v>7</c:v>
                </c:pt>
                <c:pt idx="7">
                  <c:v>3</c:v>
                </c:pt>
              </c:numCache>
            </c:numRef>
          </c:val>
        </c:ser>
        <c:gapWidth val="150"/>
        <c:overlap val="0"/>
        <c:axId val="23006513"/>
        <c:axId val="17343365"/>
      </c:barChart>
      <c:catAx>
        <c:axId val="230065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43365"/>
        <c:crosses val="autoZero"/>
        <c:auto val="1"/>
        <c:lblAlgn val="ctr"/>
        <c:lblOffset val="100"/>
        <c:noMultiLvlLbl val="0"/>
      </c:catAx>
      <c:valAx>
        <c:axId val="1734336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Instances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065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Missed instances per enrolled learner, by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Analysis!I13</c:f>
              <c:strCache>
                <c:ptCount val="1"/>
                <c:pt idx="0">
                  <c:v>Instances per learner</c:v>
                </c:pt>
              </c:strCache>
            </c:strRef>
          </c:tx>
          <c:spPr>
            <a:solidFill>
              <a:srgbClr val="c55a11"/>
            </a:solidFill>
            <a:ln w="28080">
              <a:solidFill>
                <a:srgbClr val="c55a11"/>
              </a:solidFill>
              <a:round/>
            </a:ln>
          </c:spPr>
          <c:marker>
            <c:symbol val="circle"/>
            <c:size val="5"/>
            <c:spPr>
              <a:solidFill>
                <a:srgbClr val="c55a11"/>
              </a:solidFill>
            </c:spPr>
          </c:marker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Analysis!$A$14:$A$18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Analysis!$I$14:$I$18</c:f>
              <c:numCache>
                <c:formatCode>0.00</c:formatCode>
                <c:ptCount val="5"/>
                <c:pt idx="0">
                  <c:v>0.425</c:v>
                </c:pt>
                <c:pt idx="1">
                  <c:v>0.333333333333333</c:v>
                </c:pt>
                <c:pt idx="2">
                  <c:v>0.7</c:v>
                </c:pt>
                <c:pt idx="3">
                  <c:v>0.5</c:v>
                </c:pt>
                <c:pt idx="4">
                  <c:v>0.8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4166457"/>
        <c:axId val="96705544"/>
      </c:lineChart>
      <c:catAx>
        <c:axId val="841664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05544"/>
        <c:crosses val="autoZero"/>
        <c:auto val="1"/>
        <c:lblAlgn val="ctr"/>
        <c:lblOffset val="100"/>
        <c:noMultiLvlLbl val="0"/>
      </c:catAx>
      <c:valAx>
        <c:axId val="9670554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Instances per learner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664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learners by missed minutes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Analysis!D34</c:f>
              <c:strCache>
                <c:ptCount val="1"/>
                <c:pt idx="0">
                  <c:v>Missed minutes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Analysis!$B$35:$B$44</c:f>
              <c:strCache>
                <c:ptCount val="10"/>
                <c:pt idx="0">
                  <c:v>Kiran Bhat</c:v>
                </c:pt>
                <c:pt idx="1">
                  <c:v>Omar Pillai</c:v>
                </c:pt>
                <c:pt idx="2">
                  <c:v>Faisal Hassan</c:v>
                </c:pt>
                <c:pt idx="3">
                  <c:v>Anil Verma</c:v>
                </c:pt>
                <c:pt idx="4">
                  <c:v>Xavier Fischer</c:v>
                </c:pt>
                <c:pt idx="5">
                  <c:v>Marco Rossi</c:v>
                </c:pt>
                <c:pt idx="6">
                  <c:v>Tariq Ali</c:v>
                </c:pt>
                <c:pt idx="7">
                  <c:v>Leela Hughes</c:v>
                </c:pt>
                <c:pt idx="8">
                  <c:v>Ben Carter</c:v>
                </c:pt>
                <c:pt idx="9">
                  <c:v>Elena Ortiz</c:v>
                </c:pt>
              </c:strCache>
            </c:strRef>
          </c:cat>
          <c:val>
            <c:numRef>
              <c:f>Analysis!$D$35:$D$44</c:f>
              <c:numCache>
                <c:formatCode>General</c:formatCode>
                <c:ptCount val="10"/>
                <c:pt idx="0">
                  <c:v>255</c:v>
                </c:pt>
                <c:pt idx="1">
                  <c:v>250</c:v>
                </c:pt>
                <c:pt idx="2">
                  <c:v>200</c:v>
                </c:pt>
                <c:pt idx="3">
                  <c:v>170</c:v>
                </c:pt>
                <c:pt idx="4">
                  <c:v>165</c:v>
                </c:pt>
                <c:pt idx="5">
                  <c:v>160</c:v>
                </c:pt>
                <c:pt idx="6">
                  <c:v>120</c:v>
                </c:pt>
                <c:pt idx="7">
                  <c:v>105</c:v>
                </c:pt>
                <c:pt idx="8">
                  <c:v>90</c:v>
                </c:pt>
                <c:pt idx="9">
                  <c:v>90</c:v>
                </c:pt>
              </c:numCache>
            </c:numRef>
          </c:val>
        </c:ser>
        <c:gapWidth val="150"/>
        <c:overlap val="0"/>
        <c:axId val="70083668"/>
        <c:axId val="86052225"/>
      </c:barChart>
      <c:catAx>
        <c:axId val="7008366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52225"/>
        <c:crosses val="autoZero"/>
        <c:auto val="1"/>
        <c:lblAlgn val="ctr"/>
        <c:lblOffset val="100"/>
        <c:noMultiLvlLbl val="0"/>
      </c:catAx>
      <c:valAx>
        <c:axId val="86052225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0836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Missed periods in a single learner-day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Analysis!C60</c:f>
              <c:strCache>
                <c:ptCount val="1"/>
                <c:pt idx="0">
                  <c:v>Learner-days</c:v>
                </c:pt>
              </c:strCache>
            </c:strRef>
          </c:tx>
          <c:spPr>
            <a:solidFill>
              <a:srgbClr val="548235"/>
            </a:solidFill>
            <a:ln w="9360">
              <a:solidFill>
                <a:srgbClr val="548235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Analysis!$A$61:$A$63</c:f>
              <c:strCache>
                <c:ptCount val="3"/>
                <c:pt idx="0">
                  <c:v>1 period</c:v>
                </c:pt>
                <c:pt idx="1">
                  <c:v>2 periods</c:v>
                </c:pt>
                <c:pt idx="2">
                  <c:v>3 periods</c:v>
                </c:pt>
              </c:strCache>
            </c:strRef>
          </c:cat>
          <c:val>
            <c:numRef>
              <c:f>Analysis!$C$61:$C$63</c:f>
              <c:numCache>
                <c:formatCode>General</c:formatCode>
                <c:ptCount val="3"/>
                <c:pt idx="0">
                  <c:v>22</c:v>
                </c:pt>
                <c:pt idx="1">
                  <c:v>11</c:v>
                </c:pt>
                <c:pt idx="2">
                  <c:v>5</c:v>
                </c:pt>
              </c:numCache>
            </c:numRef>
          </c:val>
        </c:ser>
        <c:gapWidth val="150"/>
        <c:overlap val="0"/>
        <c:axId val="87500638"/>
        <c:axId val="45487870"/>
      </c:barChart>
      <c:catAx>
        <c:axId val="875006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87870"/>
        <c:crosses val="autoZero"/>
        <c:auto val="1"/>
        <c:lblAlgn val="ctr"/>
        <c:lblOffset val="100"/>
        <c:noMultiLvlLbl val="0"/>
      </c:catAx>
      <c:valAx>
        <c:axId val="4548787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Learner-days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006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130680</xdr:rowOff>
    </xdr:from>
    <xdr:to>
      <xdr:col>6</xdr:col>
      <xdr:colOff>441720</xdr:colOff>
      <xdr:row>28</xdr:row>
      <xdr:rowOff>153000</xdr:rowOff>
    </xdr:to>
    <xdr:graphicFrame>
      <xdr:nvGraphicFramePr>
        <xdr:cNvPr id="0" name="Chart 1"/>
        <xdr:cNvGraphicFramePr/>
      </xdr:nvGraphicFramePr>
      <xdr:xfrm>
        <a:off x="0" y="4257720"/>
        <a:ext cx="59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130680</xdr:rowOff>
    </xdr:from>
    <xdr:to>
      <xdr:col>13</xdr:col>
      <xdr:colOff>441720</xdr:colOff>
      <xdr:row>28</xdr:row>
      <xdr:rowOff>153000</xdr:rowOff>
    </xdr:to>
    <xdr:graphicFrame>
      <xdr:nvGraphicFramePr>
        <xdr:cNvPr id="1" name="Chart 2"/>
        <xdr:cNvGraphicFramePr/>
      </xdr:nvGraphicFramePr>
      <xdr:xfrm>
        <a:off x="6414120" y="4257720"/>
        <a:ext cx="59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131040</xdr:rowOff>
    </xdr:from>
    <xdr:to>
      <xdr:col>6</xdr:col>
      <xdr:colOff>441720</xdr:colOff>
      <xdr:row>45</xdr:row>
      <xdr:rowOff>153000</xdr:rowOff>
    </xdr:to>
    <xdr:graphicFrame>
      <xdr:nvGraphicFramePr>
        <xdr:cNvPr id="2" name="Chart 3"/>
        <xdr:cNvGraphicFramePr/>
      </xdr:nvGraphicFramePr>
      <xdr:xfrm>
        <a:off x="0" y="7496280"/>
        <a:ext cx="59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30</xdr:row>
      <xdr:rowOff>131040</xdr:rowOff>
    </xdr:from>
    <xdr:to>
      <xdr:col>13</xdr:col>
      <xdr:colOff>441720</xdr:colOff>
      <xdr:row>45</xdr:row>
      <xdr:rowOff>153000</xdr:rowOff>
    </xdr:to>
    <xdr:graphicFrame>
      <xdr:nvGraphicFramePr>
        <xdr:cNvPr id="3" name="Chart 4"/>
        <xdr:cNvGraphicFramePr/>
      </xdr:nvGraphicFramePr>
      <xdr:xfrm>
        <a:off x="6414120" y="7496280"/>
        <a:ext cx="59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47</xdr:row>
      <xdr:rowOff>131040</xdr:rowOff>
    </xdr:from>
    <xdr:to>
      <xdr:col>6</xdr:col>
      <xdr:colOff>441720</xdr:colOff>
      <xdr:row>62</xdr:row>
      <xdr:rowOff>153000</xdr:rowOff>
    </xdr:to>
    <xdr:graphicFrame>
      <xdr:nvGraphicFramePr>
        <xdr:cNvPr id="4" name="Chart 5"/>
        <xdr:cNvGraphicFramePr/>
      </xdr:nvGraphicFramePr>
      <xdr:xfrm>
        <a:off x="0" y="10734840"/>
        <a:ext cx="59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47</xdr:row>
      <xdr:rowOff>131040</xdr:rowOff>
    </xdr:from>
    <xdr:to>
      <xdr:col>13</xdr:col>
      <xdr:colOff>441720</xdr:colOff>
      <xdr:row>62</xdr:row>
      <xdr:rowOff>153000</xdr:rowOff>
    </xdr:to>
    <xdr:graphicFrame>
      <xdr:nvGraphicFramePr>
        <xdr:cNvPr id="5" name="Chart 6"/>
        <xdr:cNvGraphicFramePr/>
      </xdr:nvGraphicFramePr>
      <xdr:xfrm>
        <a:off x="6414120" y="10734840"/>
        <a:ext cx="59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64</xdr:row>
      <xdr:rowOff>130680</xdr:rowOff>
    </xdr:from>
    <xdr:to>
      <xdr:col>6</xdr:col>
      <xdr:colOff>441720</xdr:colOff>
      <xdr:row>79</xdr:row>
      <xdr:rowOff>152640</xdr:rowOff>
    </xdr:to>
    <xdr:graphicFrame>
      <xdr:nvGraphicFramePr>
        <xdr:cNvPr id="6" name="Chart 7"/>
        <xdr:cNvGraphicFramePr/>
      </xdr:nvGraphicFramePr>
      <xdr:xfrm>
        <a:off x="0" y="13973040"/>
        <a:ext cx="59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64</xdr:row>
      <xdr:rowOff>130680</xdr:rowOff>
    </xdr:from>
    <xdr:to>
      <xdr:col>13</xdr:col>
      <xdr:colOff>441720</xdr:colOff>
      <xdr:row>79</xdr:row>
      <xdr:rowOff>152640</xdr:rowOff>
    </xdr:to>
    <xdr:graphicFrame>
      <xdr:nvGraphicFramePr>
        <xdr:cNvPr id="7" name="Chart 8"/>
        <xdr:cNvGraphicFramePr/>
      </xdr:nvGraphicFramePr>
      <xdr:xfrm>
        <a:off x="6414120" y="13973040"/>
        <a:ext cx="59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57.75" hidden="false" customHeight="true" outlineLevel="0" collapsed="false">
      <c r="A5" s="4" t="s">
        <v>4</v>
      </c>
      <c r="B5" s="5" t="s">
        <v>5</v>
      </c>
    </row>
    <row r="6" customFormat="false" ht="57.75" hidden="false" customHeight="true" outlineLevel="0" collapsed="false">
      <c r="A6" s="4" t="s">
        <v>6</v>
      </c>
      <c r="B6" s="5" t="s">
        <v>7</v>
      </c>
    </row>
    <row r="7" customFormat="false" ht="57.75" hidden="false" customHeight="true" outlineLevel="0" collapsed="false">
      <c r="A7" s="4" t="s">
        <v>8</v>
      </c>
      <c r="B7" s="5" t="s">
        <v>9</v>
      </c>
    </row>
    <row r="8" customFormat="false" ht="57.75" hidden="false" customHeight="true" outlineLevel="0" collapsed="false">
      <c r="A8" s="4" t="s">
        <v>10</v>
      </c>
      <c r="B8" s="5" t="s">
        <v>11</v>
      </c>
    </row>
    <row r="9" customFormat="false" ht="57.75" hidden="false" customHeight="true" outlineLevel="0" collapsed="false">
      <c r="A9" s="4" t="s">
        <v>12</v>
      </c>
      <c r="B9" s="5" t="s">
        <v>13</v>
      </c>
    </row>
    <row r="10" customFormat="false" ht="57.75" hidden="false" customHeight="true" outlineLevel="0" collapsed="false">
      <c r="A10" s="4" t="s">
        <v>14</v>
      </c>
      <c r="B10" s="5" t="s">
        <v>15</v>
      </c>
    </row>
    <row r="11" customFormat="false" ht="57.75" hidden="false" customHeight="true" outlineLevel="0" collapsed="false">
      <c r="A11" s="4" t="s">
        <v>16</v>
      </c>
      <c r="B11" s="5" t="s">
        <v>17</v>
      </c>
    </row>
    <row r="13" customFormat="false" ht="15" hidden="false" customHeight="false" outlineLevel="0" collapsed="false">
      <c r="A13" s="6" t="s">
        <v>18</v>
      </c>
    </row>
    <row r="14" customFormat="false" ht="15" hidden="false" customHeight="false" outlineLevel="0" collapsed="false">
      <c r="A14" s="3" t="s">
        <v>19</v>
      </c>
      <c r="B14" s="3" t="s">
        <v>20</v>
      </c>
    </row>
    <row r="15" customFormat="false" ht="15" hidden="false" customHeight="false" outlineLevel="0" collapsed="false">
      <c r="A15" s="7" t="s">
        <v>21</v>
      </c>
      <c r="B15" s="8" t="n">
        <f aca="false">SUM(Sessions!F5:F8)</f>
        <v>40</v>
      </c>
    </row>
    <row r="16" customFormat="false" ht="15" hidden="false" customHeight="false" outlineLevel="0" collapsed="false">
      <c r="A16" s="7" t="s">
        <v>22</v>
      </c>
      <c r="B16" s="8" t="n">
        <f aca="false">Analysis!C56</f>
        <v>59</v>
      </c>
    </row>
    <row r="17" customFormat="false" ht="15" hidden="false" customHeight="false" outlineLevel="0" collapsed="false">
      <c r="A17" s="7" t="s">
        <v>23</v>
      </c>
      <c r="B17" s="8" t="n">
        <f aca="false">Analysis!F9</f>
        <v>59</v>
      </c>
    </row>
    <row r="18" customFormat="false" ht="15" hidden="false" customHeight="false" outlineLevel="0" collapsed="false">
      <c r="A18" s="7" t="s">
        <v>24</v>
      </c>
      <c r="B18" s="8" t="n">
        <f aca="false">Analysis!D9</f>
        <v>23</v>
      </c>
    </row>
    <row r="19" customFormat="false" ht="15" hidden="false" customHeight="false" outlineLevel="0" collapsed="false">
      <c r="A19" s="7" t="s">
        <v>25</v>
      </c>
      <c r="B19" s="8" t="n">
        <f aca="false">'Validation Report'!B7</f>
        <v>14</v>
      </c>
    </row>
    <row r="21" customFormat="false" ht="15" hidden="false" customHeight="false" outlineLevel="0" collapsed="false">
      <c r="A21" s="9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3"/>
  </cols>
  <sheetData>
    <row r="1" customFormat="false" ht="19.7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27.75" hidden="false" customHeight="true" outlineLevel="0" collapsed="false">
      <c r="A4" s="10" t="s">
        <v>22</v>
      </c>
      <c r="B4" s="10"/>
      <c r="C4" s="10" t="s">
        <v>29</v>
      </c>
      <c r="D4" s="10"/>
      <c r="E4" s="10" t="s">
        <v>30</v>
      </c>
      <c r="F4" s="10"/>
      <c r="G4" s="10" t="s">
        <v>24</v>
      </c>
      <c r="H4" s="10"/>
      <c r="I4" s="10" t="s">
        <v>31</v>
      </c>
      <c r="J4" s="10"/>
      <c r="K4" s="10" t="s">
        <v>32</v>
      </c>
      <c r="L4" s="10"/>
    </row>
    <row r="5" customFormat="false" ht="37.5" hidden="false" customHeight="true" outlineLevel="0" collapsed="false">
      <c r="A5" s="11" t="n">
        <f aca="false">Analysis!C56</f>
        <v>59</v>
      </c>
      <c r="B5" s="11"/>
      <c r="C5" s="12" t="n">
        <f aca="false">Analysis!D50</f>
        <v>0.644067796610169</v>
      </c>
      <c r="D5" s="12"/>
      <c r="E5" s="11" t="n">
        <f aca="false">Analysis!F9</f>
        <v>59</v>
      </c>
      <c r="F5" s="11"/>
      <c r="G5" s="11" t="n">
        <f aca="false">Analysis!D9</f>
        <v>23</v>
      </c>
      <c r="H5" s="11"/>
      <c r="I5" s="13" t="n">
        <f aca="false">Analysis!G9/60</f>
        <v>38.75</v>
      </c>
      <c r="J5" s="13"/>
      <c r="K5" s="13" t="n">
        <f aca="false">Analysis!H9</f>
        <v>39.406779661017</v>
      </c>
      <c r="L5" s="13"/>
    </row>
    <row r="7" customFormat="false" ht="15" hidden="false" customHeight="false" outlineLevel="0" collapsed="false">
      <c r="A7" s="14" t="s">
        <v>33</v>
      </c>
    </row>
    <row r="8" customFormat="false" ht="30" hidden="false" customHeight="true" outlineLevel="0" collapsed="false">
      <c r="A8" s="15" t="s">
        <v>34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customFormat="false" ht="30" hidden="false" customHeight="true" outlineLevel="0" collapsed="false">
      <c r="A9" s="15" t="s">
        <v>35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customFormat="false" ht="30" hidden="false" customHeight="true" outlineLevel="0" collapsed="false">
      <c r="A10" s="15" t="s">
        <v>36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customFormat="false" ht="30" hidden="false" customHeight="true" outlineLevel="0" collapsed="false">
      <c r="A11" s="15" t="s">
        <v>37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customFormat="false" ht="30" hidden="false" customHeight="true" outlineLevel="0" collapsed="false">
      <c r="A12" s="15" t="s">
        <v>38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customFormat="false" ht="30" hidden="false" customHeight="true" outlineLevel="0" collapsed="false">
      <c r="A13" s="16" t="s">
        <v>39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</sheetData>
  <mergeCells count="18"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8:L8"/>
    <mergeCell ref="A9:L9"/>
    <mergeCell ref="A10:L10"/>
    <mergeCell ref="A11:L11"/>
    <mergeCell ref="A12:L12"/>
    <mergeCell ref="A13:L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1" man="true" max="16383" min="0"/>
    <brk id="65" man="true" max="16383" min="0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7" min="3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19.7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3" customFormat="false" ht="15" hidden="false" customHeight="false" outlineLevel="0" collapsed="false">
      <c r="A3" s="6" t="s">
        <v>42</v>
      </c>
    </row>
    <row r="4" customFormat="false" ht="42" hidden="false" customHeight="true" outlineLevel="0" collapsed="false">
      <c r="A4" s="3" t="s">
        <v>43</v>
      </c>
      <c r="B4" s="3" t="s">
        <v>44</v>
      </c>
      <c r="C4" s="3" t="s">
        <v>45</v>
      </c>
      <c r="D4" s="3" t="s">
        <v>24</v>
      </c>
      <c r="E4" s="3" t="s">
        <v>46</v>
      </c>
      <c r="F4" s="3" t="s">
        <v>47</v>
      </c>
      <c r="G4" s="3" t="s">
        <v>48</v>
      </c>
      <c r="H4" s="3" t="s">
        <v>32</v>
      </c>
      <c r="I4" s="3" t="s">
        <v>49</v>
      </c>
    </row>
    <row r="5" customFormat="false" ht="15" hidden="false" customHeight="false" outlineLevel="0" collapsed="false">
      <c r="A5" s="7" t="str">
        <f aca="false">Sessions!B5</f>
        <v>1-Day Workshop</v>
      </c>
      <c r="B5" s="7" t="n">
        <f aca="false">Sessions!C5</f>
        <v>1</v>
      </c>
      <c r="C5" s="7" t="n">
        <f aca="false">Sessions!F5</f>
        <v>10</v>
      </c>
      <c r="D5" s="7" t="n">
        <f aca="false">COUNTIF('Validation Report'!$E$11:$E$33,A5)</f>
        <v>3</v>
      </c>
      <c r="E5" s="17" t="n">
        <f aca="false">IFERROR(D5/C5,0)</f>
        <v>0.3</v>
      </c>
      <c r="F5" s="7" t="n">
        <f aca="false">COUNTIF('Processed Instances'!$H$5:$H$63,A5)</f>
        <v>5</v>
      </c>
      <c r="G5" s="7" t="n">
        <f aca="false">SUMIF('Processed Instances'!$H$5:$H$63,A5,'Processed Instances'!$J$5:$J$63)</f>
        <v>195</v>
      </c>
      <c r="H5" s="18" t="n">
        <f aca="false">IFERROR(G5/F5,0)</f>
        <v>39</v>
      </c>
      <c r="I5" s="19" t="n">
        <f aca="false">IFERROR(F5/D5,0)</f>
        <v>1.66666666666667</v>
      </c>
    </row>
    <row r="6" customFormat="false" ht="15" hidden="false" customHeight="false" outlineLevel="0" collapsed="false">
      <c r="A6" s="7" t="str">
        <f aca="false">Sessions!B6</f>
        <v>2-Day Bootcamp</v>
      </c>
      <c r="B6" s="7" t="n">
        <f aca="false">Sessions!C6</f>
        <v>2</v>
      </c>
      <c r="C6" s="7" t="n">
        <f aca="false">Sessions!F6</f>
        <v>10</v>
      </c>
      <c r="D6" s="7" t="n">
        <f aca="false">COUNTIF('Validation Report'!$E$11:$E$33,A6)</f>
        <v>3</v>
      </c>
      <c r="E6" s="17" t="n">
        <f aca="false">IFERROR(D6/C6,0)</f>
        <v>0.3</v>
      </c>
      <c r="F6" s="7" t="n">
        <f aca="false">COUNTIF('Processed Instances'!$H$5:$H$63,A6)</f>
        <v>5</v>
      </c>
      <c r="G6" s="7" t="n">
        <f aca="false">SUMIF('Processed Instances'!$H$5:$H$63,A6,'Processed Instances'!$J$5:$J$63)</f>
        <v>255</v>
      </c>
      <c r="H6" s="18" t="n">
        <f aca="false">IFERROR(G6/F6,0)</f>
        <v>51</v>
      </c>
      <c r="I6" s="19" t="n">
        <f aca="false">IFERROR(F6/D6,0)</f>
        <v>1.66666666666667</v>
      </c>
    </row>
    <row r="7" customFormat="false" ht="15" hidden="false" customHeight="false" outlineLevel="0" collapsed="false">
      <c r="A7" s="7" t="str">
        <f aca="false">Sessions!B7</f>
        <v>4-Day Program</v>
      </c>
      <c r="B7" s="7" t="n">
        <f aca="false">Sessions!C7</f>
        <v>4</v>
      </c>
      <c r="C7" s="7" t="n">
        <f aca="false">Sessions!F7</f>
        <v>10</v>
      </c>
      <c r="D7" s="7" t="n">
        <f aca="false">COUNTIF('Validation Report'!$E$11:$E$33,A7)</f>
        <v>9</v>
      </c>
      <c r="E7" s="17" t="n">
        <f aca="false">IFERROR(D7/C7,0)</f>
        <v>0.9</v>
      </c>
      <c r="F7" s="7" t="n">
        <f aca="false">COUNTIF('Processed Instances'!$H$5:$H$63,A7)</f>
        <v>18</v>
      </c>
      <c r="G7" s="7" t="n">
        <f aca="false">SUMIF('Processed Instances'!$H$5:$H$63,A7,'Processed Instances'!$J$5:$J$63)</f>
        <v>670</v>
      </c>
      <c r="H7" s="18" t="n">
        <f aca="false">IFERROR(G7/F7,0)</f>
        <v>37.2222222222222</v>
      </c>
      <c r="I7" s="19" t="n">
        <f aca="false">IFERROR(F7/D7,0)</f>
        <v>2</v>
      </c>
    </row>
    <row r="8" customFormat="false" ht="15" hidden="false" customHeight="false" outlineLevel="0" collapsed="false">
      <c r="A8" s="7" t="str">
        <f aca="false">Sessions!B8</f>
        <v>5-Day Academy</v>
      </c>
      <c r="B8" s="7" t="n">
        <f aca="false">Sessions!C8</f>
        <v>5</v>
      </c>
      <c r="C8" s="7" t="n">
        <f aca="false">Sessions!F8</f>
        <v>10</v>
      </c>
      <c r="D8" s="7" t="n">
        <f aca="false">COUNTIF('Validation Report'!$E$11:$E$33,A8)</f>
        <v>8</v>
      </c>
      <c r="E8" s="17" t="n">
        <f aca="false">IFERROR(D8/C8,0)</f>
        <v>0.8</v>
      </c>
      <c r="F8" s="7" t="n">
        <f aca="false">COUNTIF('Processed Instances'!$H$5:$H$63,A8)</f>
        <v>31</v>
      </c>
      <c r="G8" s="7" t="n">
        <f aca="false">SUMIF('Processed Instances'!$H$5:$H$63,A8,'Processed Instances'!$J$5:$J$63)</f>
        <v>1205</v>
      </c>
      <c r="H8" s="18" t="n">
        <f aca="false">IFERROR(G8/F8,0)</f>
        <v>38.8709677419355</v>
      </c>
      <c r="I8" s="19" t="n">
        <f aca="false">IFERROR(F8/D8,0)</f>
        <v>3.875</v>
      </c>
    </row>
    <row r="9" customFormat="false" ht="15" hidden="false" customHeight="false" outlineLevel="0" collapsed="false">
      <c r="A9" s="20" t="s">
        <v>50</v>
      </c>
      <c r="B9" s="20"/>
      <c r="C9" s="20" t="n">
        <f aca="false">SUM(C5:C8)</f>
        <v>40</v>
      </c>
      <c r="D9" s="20" t="n">
        <f aca="false">SUM(D5:D8)</f>
        <v>23</v>
      </c>
      <c r="E9" s="21" t="n">
        <f aca="false">IFERROR(D9/C9,0)</f>
        <v>0.575</v>
      </c>
      <c r="F9" s="20" t="n">
        <f aca="false">SUM(F5:F8)</f>
        <v>59</v>
      </c>
      <c r="G9" s="20" t="n">
        <f aca="false">SUM(G5:G8)</f>
        <v>2325</v>
      </c>
      <c r="H9" s="22" t="n">
        <f aca="false">IFERROR(G9/F9,0)</f>
        <v>39.406779661017</v>
      </c>
      <c r="I9" s="23" t="n">
        <f aca="false">IFERROR(F9/D9,0)</f>
        <v>2.56521739130435</v>
      </c>
    </row>
    <row r="12" customFormat="false" ht="15" hidden="false" customHeight="false" outlineLevel="0" collapsed="false">
      <c r="A12" s="6" t="s">
        <v>51</v>
      </c>
    </row>
    <row r="13" customFormat="false" ht="42" hidden="false" customHeight="true" outlineLevel="0" collapsed="false">
      <c r="A13" s="3" t="s">
        <v>52</v>
      </c>
      <c r="B13" s="3" t="s">
        <v>53</v>
      </c>
      <c r="C13" s="3" t="s">
        <v>54</v>
      </c>
      <c r="D13" s="3" t="s">
        <v>55</v>
      </c>
      <c r="E13" s="3" t="s">
        <v>56</v>
      </c>
      <c r="F13" s="3" t="s">
        <v>57</v>
      </c>
      <c r="G13" s="3" t="s">
        <v>58</v>
      </c>
      <c r="H13" s="3" t="s">
        <v>59</v>
      </c>
      <c r="I13" s="3" t="s">
        <v>60</v>
      </c>
      <c r="J13" s="3" t="s">
        <v>48</v>
      </c>
      <c r="K13" s="3" t="s">
        <v>32</v>
      </c>
    </row>
    <row r="14" customFormat="false" ht="15" hidden="false" customHeight="false" outlineLevel="0" collapsed="false">
      <c r="A14" s="7" t="s">
        <v>61</v>
      </c>
      <c r="B14" s="7" t="n">
        <v>1</v>
      </c>
      <c r="C14" s="7" t="n">
        <f aca="false">COUNTIFS('Processed Instances'!$H$5:$H$63,C$13,'Processed Instances'!$I$5:$I$63,$B14)</f>
        <v>5</v>
      </c>
      <c r="D14" s="7" t="n">
        <f aca="false">COUNTIFS('Processed Instances'!$H$5:$H$63,D$13,'Processed Instances'!$I$5:$I$63,$B14)</f>
        <v>2</v>
      </c>
      <c r="E14" s="7" t="n">
        <f aca="false">COUNTIFS('Processed Instances'!$H$5:$H$63,E$13,'Processed Instances'!$I$5:$I$63,$B14)</f>
        <v>6</v>
      </c>
      <c r="F14" s="7" t="n">
        <f aca="false">COUNTIFS('Processed Instances'!$H$5:$H$63,F$13,'Processed Instances'!$I$5:$I$63,$B14)</f>
        <v>4</v>
      </c>
      <c r="G14" s="7" t="n">
        <f aca="false">SUM(C14:F14)</f>
        <v>17</v>
      </c>
      <c r="H14" s="7" t="n">
        <f aca="false">SUMIF(Sessions!$C$5:$C$8,"&gt;="&amp;B14,Sessions!$F$5:$F$8)</f>
        <v>40</v>
      </c>
      <c r="I14" s="19" t="n">
        <f aca="false">IFERROR(G14/H14,0)</f>
        <v>0.425</v>
      </c>
      <c r="J14" s="7" t="n">
        <f aca="false">SUMIF('Processed Instances'!$I$5:$I$63,B14,'Processed Instances'!$J$5:$J$63)</f>
        <v>685</v>
      </c>
      <c r="K14" s="18" t="n">
        <f aca="false">IFERROR(J14/G14,0)</f>
        <v>40.2941176470588</v>
      </c>
    </row>
    <row r="15" customFormat="false" ht="15" hidden="false" customHeight="false" outlineLevel="0" collapsed="false">
      <c r="A15" s="7" t="s">
        <v>62</v>
      </c>
      <c r="B15" s="7" t="n">
        <v>2</v>
      </c>
      <c r="C15" s="7" t="n">
        <f aca="false">COUNTIFS('Processed Instances'!$H$5:$H$63,C$13,'Processed Instances'!$I$5:$I$63,$B15)</f>
        <v>0</v>
      </c>
      <c r="D15" s="7" t="n">
        <f aca="false">COUNTIFS('Processed Instances'!$H$5:$H$63,D$13,'Processed Instances'!$I$5:$I$63,$B15)</f>
        <v>3</v>
      </c>
      <c r="E15" s="7" t="n">
        <f aca="false">COUNTIFS('Processed Instances'!$H$5:$H$63,E$13,'Processed Instances'!$I$5:$I$63,$B15)</f>
        <v>1</v>
      </c>
      <c r="F15" s="7" t="n">
        <f aca="false">COUNTIFS('Processed Instances'!$H$5:$H$63,F$13,'Processed Instances'!$I$5:$I$63,$B15)</f>
        <v>6</v>
      </c>
      <c r="G15" s="7" t="n">
        <f aca="false">SUM(C15:F15)</f>
        <v>10</v>
      </c>
      <c r="H15" s="7" t="n">
        <f aca="false">SUMIF(Sessions!$C$5:$C$8,"&gt;="&amp;B15,Sessions!$F$5:$F$8)</f>
        <v>30</v>
      </c>
      <c r="I15" s="19" t="n">
        <f aca="false">IFERROR(G15/H15,0)</f>
        <v>0.333333333333333</v>
      </c>
      <c r="J15" s="7" t="n">
        <f aca="false">SUMIF('Processed Instances'!$I$5:$I$63,B15,'Processed Instances'!$J$5:$J$63)</f>
        <v>370</v>
      </c>
      <c r="K15" s="18" t="n">
        <f aca="false">IFERROR(J15/G15,0)</f>
        <v>37</v>
      </c>
    </row>
    <row r="16" customFormat="false" ht="15" hidden="false" customHeight="false" outlineLevel="0" collapsed="false">
      <c r="A16" s="7" t="s">
        <v>63</v>
      </c>
      <c r="B16" s="7" t="n">
        <v>3</v>
      </c>
      <c r="C16" s="7" t="n">
        <f aca="false">COUNTIFS('Processed Instances'!$H$5:$H$63,C$13,'Processed Instances'!$I$5:$I$63,$B16)</f>
        <v>0</v>
      </c>
      <c r="D16" s="7" t="n">
        <f aca="false">COUNTIFS('Processed Instances'!$H$5:$H$63,D$13,'Processed Instances'!$I$5:$I$63,$B16)</f>
        <v>0</v>
      </c>
      <c r="E16" s="7" t="n">
        <f aca="false">COUNTIFS('Processed Instances'!$H$5:$H$63,E$13,'Processed Instances'!$I$5:$I$63,$B16)</f>
        <v>7</v>
      </c>
      <c r="F16" s="7" t="n">
        <f aca="false">COUNTIFS('Processed Instances'!$H$5:$H$63,F$13,'Processed Instances'!$I$5:$I$63,$B16)</f>
        <v>7</v>
      </c>
      <c r="G16" s="7" t="n">
        <f aca="false">SUM(C16:F16)</f>
        <v>14</v>
      </c>
      <c r="H16" s="7" t="n">
        <f aca="false">SUMIF(Sessions!$C$5:$C$8,"&gt;="&amp;B16,Sessions!$F$5:$F$8)</f>
        <v>20</v>
      </c>
      <c r="I16" s="19" t="n">
        <f aca="false">IFERROR(G16/H16,0)</f>
        <v>0.7</v>
      </c>
      <c r="J16" s="7" t="n">
        <f aca="false">SUMIF('Processed Instances'!$I$5:$I$63,B16,'Processed Instances'!$J$5:$J$63)</f>
        <v>620</v>
      </c>
      <c r="K16" s="18" t="n">
        <f aca="false">IFERROR(J16/G16,0)</f>
        <v>44.2857142857143</v>
      </c>
    </row>
    <row r="17" customFormat="false" ht="15" hidden="false" customHeight="false" outlineLevel="0" collapsed="false">
      <c r="A17" s="7" t="s">
        <v>64</v>
      </c>
      <c r="B17" s="7" t="n">
        <v>4</v>
      </c>
      <c r="C17" s="7" t="n">
        <f aca="false">COUNTIFS('Processed Instances'!$H$5:$H$63,C$13,'Processed Instances'!$I$5:$I$63,$B17)</f>
        <v>0</v>
      </c>
      <c r="D17" s="7" t="n">
        <f aca="false">COUNTIFS('Processed Instances'!$H$5:$H$63,D$13,'Processed Instances'!$I$5:$I$63,$B17)</f>
        <v>0</v>
      </c>
      <c r="E17" s="7" t="n">
        <f aca="false">COUNTIFS('Processed Instances'!$H$5:$H$63,E$13,'Processed Instances'!$I$5:$I$63,$B17)</f>
        <v>4</v>
      </c>
      <c r="F17" s="7" t="n">
        <f aca="false">COUNTIFS('Processed Instances'!$H$5:$H$63,F$13,'Processed Instances'!$I$5:$I$63,$B17)</f>
        <v>6</v>
      </c>
      <c r="G17" s="7" t="n">
        <f aca="false">SUM(C17:F17)</f>
        <v>10</v>
      </c>
      <c r="H17" s="7" t="n">
        <f aca="false">SUMIF(Sessions!$C$5:$C$8,"&gt;="&amp;B17,Sessions!$F$5:$F$8)</f>
        <v>20</v>
      </c>
      <c r="I17" s="19" t="n">
        <f aca="false">IFERROR(G17/H17,0)</f>
        <v>0.5</v>
      </c>
      <c r="J17" s="7" t="n">
        <f aca="false">SUMIF('Processed Instances'!$I$5:$I$63,B17,'Processed Instances'!$J$5:$J$63)</f>
        <v>405</v>
      </c>
      <c r="K17" s="18" t="n">
        <f aca="false">IFERROR(J17/G17,0)</f>
        <v>40.5</v>
      </c>
    </row>
    <row r="18" customFormat="false" ht="15" hidden="false" customHeight="false" outlineLevel="0" collapsed="false">
      <c r="A18" s="7" t="s">
        <v>65</v>
      </c>
      <c r="B18" s="7" t="n">
        <v>5</v>
      </c>
      <c r="C18" s="7" t="n">
        <f aca="false">COUNTIFS('Processed Instances'!$H$5:$H$63,C$13,'Processed Instances'!$I$5:$I$63,$B18)</f>
        <v>0</v>
      </c>
      <c r="D18" s="7" t="n">
        <f aca="false">COUNTIFS('Processed Instances'!$H$5:$H$63,D$13,'Processed Instances'!$I$5:$I$63,$B18)</f>
        <v>0</v>
      </c>
      <c r="E18" s="7" t="n">
        <f aca="false">COUNTIFS('Processed Instances'!$H$5:$H$63,E$13,'Processed Instances'!$I$5:$I$63,$B18)</f>
        <v>0</v>
      </c>
      <c r="F18" s="7" t="n">
        <f aca="false">COUNTIFS('Processed Instances'!$H$5:$H$63,F$13,'Processed Instances'!$I$5:$I$63,$B18)</f>
        <v>8</v>
      </c>
      <c r="G18" s="7" t="n">
        <f aca="false">SUM(C18:F18)</f>
        <v>8</v>
      </c>
      <c r="H18" s="7" t="n">
        <f aca="false">SUMIF(Sessions!$C$5:$C$8,"&gt;="&amp;B18,Sessions!$F$5:$F$8)</f>
        <v>10</v>
      </c>
      <c r="I18" s="19" t="n">
        <f aca="false">IFERROR(G18/H18,0)</f>
        <v>0.8</v>
      </c>
      <c r="J18" s="7" t="n">
        <f aca="false">SUMIF('Processed Instances'!$I$5:$I$63,B18,'Processed Instances'!$J$5:$J$63)</f>
        <v>245</v>
      </c>
      <c r="K18" s="18" t="n">
        <f aca="false">IFERROR(J18/G18,0)</f>
        <v>30.625</v>
      </c>
    </row>
    <row r="21" customFormat="false" ht="15" hidden="false" customHeight="false" outlineLevel="0" collapsed="false">
      <c r="A21" s="6" t="s">
        <v>66</v>
      </c>
    </row>
    <row r="22" customFormat="false" ht="42" hidden="false" customHeight="true" outlineLevel="0" collapsed="false">
      <c r="A22" s="3" t="s">
        <v>67</v>
      </c>
      <c r="B22" s="3" t="s">
        <v>68</v>
      </c>
      <c r="C22" s="3" t="s">
        <v>47</v>
      </c>
      <c r="D22" s="3" t="s">
        <v>48</v>
      </c>
    </row>
    <row r="23" customFormat="false" ht="15" hidden="false" customHeight="false" outlineLevel="0" collapsed="false">
      <c r="A23" s="7" t="s">
        <v>69</v>
      </c>
      <c r="B23" s="7" t="n">
        <v>9</v>
      </c>
      <c r="C23" s="7" t="n">
        <f aca="false">COUNTIF('Processed Instances'!$K$5:$K$63,B23)</f>
        <v>12</v>
      </c>
      <c r="D23" s="7" t="n">
        <f aca="false">SUMIF('Processed Instances'!$K$5:$K$63,B23,'Processed Instances'!$J$5:$J$63)</f>
        <v>405</v>
      </c>
    </row>
    <row r="24" customFormat="false" ht="15" hidden="false" customHeight="false" outlineLevel="0" collapsed="false">
      <c r="A24" s="7" t="s">
        <v>70</v>
      </c>
      <c r="B24" s="7" t="n">
        <v>10</v>
      </c>
      <c r="C24" s="7" t="n">
        <f aca="false">COUNTIF('Processed Instances'!$K$5:$K$63,B24)</f>
        <v>8</v>
      </c>
      <c r="D24" s="7" t="n">
        <f aca="false">SUMIF('Processed Instances'!$K$5:$K$63,B24,'Processed Instances'!$J$5:$J$63)</f>
        <v>365</v>
      </c>
    </row>
    <row r="25" customFormat="false" ht="15" hidden="false" customHeight="false" outlineLevel="0" collapsed="false">
      <c r="A25" s="7" t="s">
        <v>71</v>
      </c>
      <c r="B25" s="7" t="n">
        <v>11</v>
      </c>
      <c r="C25" s="7" t="n">
        <f aca="false">COUNTIF('Processed Instances'!$K$5:$K$63,B25)</f>
        <v>8</v>
      </c>
      <c r="D25" s="7" t="n">
        <f aca="false">SUMIF('Processed Instances'!$K$5:$K$63,B25,'Processed Instances'!$J$5:$J$63)</f>
        <v>300</v>
      </c>
    </row>
    <row r="26" customFormat="false" ht="15" hidden="false" customHeight="false" outlineLevel="0" collapsed="false">
      <c r="A26" s="7" t="s">
        <v>72</v>
      </c>
      <c r="B26" s="7" t="n">
        <v>12</v>
      </c>
      <c r="C26" s="7" t="n">
        <f aca="false">COUNTIF('Processed Instances'!$K$5:$K$63,B26)</f>
        <v>1</v>
      </c>
      <c r="D26" s="7" t="n">
        <f aca="false">SUMIF('Processed Instances'!$K$5:$K$63,B26,'Processed Instances'!$J$5:$J$63)</f>
        <v>45</v>
      </c>
    </row>
    <row r="27" customFormat="false" ht="15" hidden="false" customHeight="false" outlineLevel="0" collapsed="false">
      <c r="A27" s="7" t="s">
        <v>73</v>
      </c>
      <c r="B27" s="7" t="n">
        <v>13</v>
      </c>
      <c r="C27" s="7" t="n">
        <f aca="false">COUNTIF('Processed Instances'!$K$5:$K$63,B27)</f>
        <v>10</v>
      </c>
      <c r="D27" s="7" t="n">
        <f aca="false">SUMIF('Processed Instances'!$K$5:$K$63,B27,'Processed Instances'!$J$5:$J$63)</f>
        <v>480</v>
      </c>
    </row>
    <row r="28" customFormat="false" ht="15" hidden="false" customHeight="false" outlineLevel="0" collapsed="false">
      <c r="A28" s="7" t="s">
        <v>74</v>
      </c>
      <c r="B28" s="7" t="n">
        <v>14</v>
      </c>
      <c r="C28" s="7" t="n">
        <f aca="false">COUNTIF('Processed Instances'!$K$5:$K$63,B28)</f>
        <v>10</v>
      </c>
      <c r="D28" s="7" t="n">
        <f aca="false">SUMIF('Processed Instances'!$K$5:$K$63,B28,'Processed Instances'!$J$5:$J$63)</f>
        <v>475</v>
      </c>
    </row>
    <row r="29" customFormat="false" ht="15" hidden="false" customHeight="false" outlineLevel="0" collapsed="false">
      <c r="A29" s="7" t="s">
        <v>75</v>
      </c>
      <c r="B29" s="7" t="n">
        <v>15</v>
      </c>
      <c r="C29" s="7" t="n">
        <f aca="false">COUNTIF('Processed Instances'!$K$5:$K$63,B29)</f>
        <v>7</v>
      </c>
      <c r="D29" s="7" t="n">
        <f aca="false">SUMIF('Processed Instances'!$K$5:$K$63,B29,'Processed Instances'!$J$5:$J$63)</f>
        <v>185</v>
      </c>
    </row>
    <row r="30" customFormat="false" ht="15" hidden="false" customHeight="false" outlineLevel="0" collapsed="false">
      <c r="A30" s="7" t="s">
        <v>76</v>
      </c>
      <c r="B30" s="7" t="n">
        <v>16</v>
      </c>
      <c r="C30" s="7" t="n">
        <f aca="false">COUNTIF('Processed Instances'!$K$5:$K$63,B30)</f>
        <v>3</v>
      </c>
      <c r="D30" s="7" t="n">
        <f aca="false">SUMIF('Processed Instances'!$K$5:$K$63,B30,'Processed Instances'!$J$5:$J$63)</f>
        <v>70</v>
      </c>
    </row>
    <row r="33" customFormat="false" ht="15" hidden="false" customHeight="false" outlineLevel="0" collapsed="false">
      <c r="A33" s="6" t="s">
        <v>77</v>
      </c>
    </row>
    <row r="34" customFormat="false" ht="42" hidden="false" customHeight="true" outlineLevel="0" collapsed="false">
      <c r="A34" s="3" t="s">
        <v>78</v>
      </c>
      <c r="B34" s="3" t="s">
        <v>79</v>
      </c>
      <c r="C34" s="3" t="s">
        <v>43</v>
      </c>
      <c r="D34" s="3" t="s">
        <v>48</v>
      </c>
      <c r="E34" s="3" t="s">
        <v>47</v>
      </c>
    </row>
    <row r="35" customFormat="false" ht="15" hidden="false" customHeight="false" outlineLevel="0" collapsed="false">
      <c r="A35" s="7" t="n">
        <v>1</v>
      </c>
      <c r="B35" s="7" t="s">
        <v>80</v>
      </c>
      <c r="C35" s="7" t="str">
        <f aca="false">INDEX('Processed Instances'!$H$5:$H$63,MATCH(B35,'Processed Instances'!$B$5:$B$63,0))</f>
        <v>5-Day Academy</v>
      </c>
      <c r="D35" s="7" t="n">
        <f aca="false">SUMIF('Processed Instances'!$B$5:$B$63,B35,'Processed Instances'!$J$5:$J$63)</f>
        <v>255</v>
      </c>
      <c r="E35" s="7" t="n">
        <f aca="false">COUNTIF('Processed Instances'!$B$5:$B$63,B35)</f>
        <v>8</v>
      </c>
    </row>
    <row r="36" customFormat="false" ht="15" hidden="false" customHeight="false" outlineLevel="0" collapsed="false">
      <c r="A36" s="7" t="n">
        <v>2</v>
      </c>
      <c r="B36" s="7" t="s">
        <v>81</v>
      </c>
      <c r="C36" s="7" t="str">
        <f aca="false">INDEX('Processed Instances'!$H$5:$H$63,MATCH(B36,'Processed Instances'!$B$5:$B$63,0))</f>
        <v>5-Day Academy</v>
      </c>
      <c r="D36" s="7" t="n">
        <f aca="false">SUMIF('Processed Instances'!$B$5:$B$63,B36,'Processed Instances'!$J$5:$J$63)</f>
        <v>250</v>
      </c>
      <c r="E36" s="7" t="n">
        <f aca="false">COUNTIF('Processed Instances'!$B$5:$B$63,B36)</f>
        <v>5</v>
      </c>
    </row>
    <row r="37" customFormat="false" ht="15" hidden="false" customHeight="false" outlineLevel="0" collapsed="false">
      <c r="A37" s="7" t="n">
        <v>3</v>
      </c>
      <c r="B37" s="7" t="s">
        <v>82</v>
      </c>
      <c r="C37" s="7" t="str">
        <f aca="false">INDEX('Processed Instances'!$H$5:$H$63,MATCH(B37,'Processed Instances'!$B$5:$B$63,0))</f>
        <v>5-Day Academy</v>
      </c>
      <c r="D37" s="7" t="n">
        <f aca="false">SUMIF('Processed Instances'!$B$5:$B$63,B37,'Processed Instances'!$J$5:$J$63)</f>
        <v>200</v>
      </c>
      <c r="E37" s="7" t="n">
        <f aca="false">COUNTIF('Processed Instances'!$B$5:$B$63,B37)</f>
        <v>5</v>
      </c>
    </row>
    <row r="38" customFormat="false" ht="15" hidden="false" customHeight="false" outlineLevel="0" collapsed="false">
      <c r="A38" s="7" t="n">
        <v>4</v>
      </c>
      <c r="B38" s="7" t="s">
        <v>83</v>
      </c>
      <c r="C38" s="7" t="str">
        <f aca="false">INDEX('Processed Instances'!$H$5:$H$63,MATCH(B38,'Processed Instances'!$B$5:$B$63,0))</f>
        <v>4-Day Program</v>
      </c>
      <c r="D38" s="7" t="n">
        <f aca="false">SUMIF('Processed Instances'!$B$5:$B$63,B38,'Processed Instances'!$J$5:$J$63)</f>
        <v>170</v>
      </c>
      <c r="E38" s="7" t="n">
        <f aca="false">COUNTIF('Processed Instances'!$B$5:$B$63,B38)</f>
        <v>4</v>
      </c>
    </row>
    <row r="39" customFormat="false" ht="15" hidden="false" customHeight="false" outlineLevel="0" collapsed="false">
      <c r="A39" s="7" t="n">
        <v>5</v>
      </c>
      <c r="B39" s="7" t="s">
        <v>84</v>
      </c>
      <c r="C39" s="7" t="str">
        <f aca="false">INDEX('Processed Instances'!$H$5:$H$63,MATCH(B39,'Processed Instances'!$B$5:$B$63,0))</f>
        <v>4-Day Program</v>
      </c>
      <c r="D39" s="7" t="n">
        <f aca="false">SUMIF('Processed Instances'!$B$5:$B$63,B39,'Processed Instances'!$J$5:$J$63)</f>
        <v>165</v>
      </c>
      <c r="E39" s="7" t="n">
        <f aca="false">COUNTIF('Processed Instances'!$B$5:$B$63,B39)</f>
        <v>3</v>
      </c>
    </row>
    <row r="40" customFormat="false" ht="15" hidden="false" customHeight="false" outlineLevel="0" collapsed="false">
      <c r="A40" s="7" t="n">
        <v>6</v>
      </c>
      <c r="B40" s="7" t="s">
        <v>85</v>
      </c>
      <c r="C40" s="7" t="str">
        <f aca="false">INDEX('Processed Instances'!$H$5:$H$63,MATCH(B40,'Processed Instances'!$B$5:$B$63,0))</f>
        <v>5-Day Academy</v>
      </c>
      <c r="D40" s="7" t="n">
        <f aca="false">SUMIF('Processed Instances'!$B$5:$B$63,B40,'Processed Instances'!$J$5:$J$63)</f>
        <v>160</v>
      </c>
      <c r="E40" s="7" t="n">
        <f aca="false">COUNTIF('Processed Instances'!$B$5:$B$63,B40)</f>
        <v>3</v>
      </c>
    </row>
    <row r="41" customFormat="false" ht="15" hidden="false" customHeight="false" outlineLevel="0" collapsed="false">
      <c r="A41" s="7" t="n">
        <v>7</v>
      </c>
      <c r="B41" s="7" t="s">
        <v>86</v>
      </c>
      <c r="C41" s="7" t="str">
        <f aca="false">INDEX('Processed Instances'!$H$5:$H$63,MATCH(B41,'Processed Instances'!$B$5:$B$63,0))</f>
        <v>2-Day Bootcamp</v>
      </c>
      <c r="D41" s="7" t="n">
        <f aca="false">SUMIF('Processed Instances'!$B$5:$B$63,B41,'Processed Instances'!$J$5:$J$63)</f>
        <v>120</v>
      </c>
      <c r="E41" s="7" t="n">
        <f aca="false">COUNTIF('Processed Instances'!$B$5:$B$63,B41)</f>
        <v>3</v>
      </c>
    </row>
    <row r="42" customFormat="false" ht="15" hidden="false" customHeight="false" outlineLevel="0" collapsed="false">
      <c r="A42" s="7" t="n">
        <v>8</v>
      </c>
      <c r="B42" s="7" t="s">
        <v>87</v>
      </c>
      <c r="C42" s="7" t="str">
        <f aca="false">INDEX('Processed Instances'!$H$5:$H$63,MATCH(B42,'Processed Instances'!$B$5:$B$63,0))</f>
        <v>5-Day Academy</v>
      </c>
      <c r="D42" s="7" t="n">
        <f aca="false">SUMIF('Processed Instances'!$B$5:$B$63,B42,'Processed Instances'!$J$5:$J$63)</f>
        <v>105</v>
      </c>
      <c r="E42" s="7" t="n">
        <f aca="false">COUNTIF('Processed Instances'!$B$5:$B$63,B42)</f>
        <v>5</v>
      </c>
    </row>
    <row r="43" customFormat="false" ht="15" hidden="false" customHeight="false" outlineLevel="0" collapsed="false">
      <c r="A43" s="7" t="n">
        <v>9</v>
      </c>
      <c r="B43" s="7" t="s">
        <v>88</v>
      </c>
      <c r="C43" s="7" t="str">
        <f aca="false">INDEX('Processed Instances'!$H$5:$H$63,MATCH(B43,'Processed Instances'!$B$5:$B$63,0))</f>
        <v>1-Day Workshop</v>
      </c>
      <c r="D43" s="7" t="n">
        <f aca="false">SUMIF('Processed Instances'!$B$5:$B$63,B43,'Processed Instances'!$J$5:$J$63)</f>
        <v>90</v>
      </c>
      <c r="E43" s="7" t="n">
        <f aca="false">COUNTIF('Processed Instances'!$B$5:$B$63,B43)</f>
        <v>2</v>
      </c>
    </row>
    <row r="44" customFormat="false" ht="15" hidden="false" customHeight="false" outlineLevel="0" collapsed="false">
      <c r="A44" s="7" t="n">
        <v>10</v>
      </c>
      <c r="B44" s="7" t="s">
        <v>89</v>
      </c>
      <c r="C44" s="7" t="str">
        <f aca="false">INDEX('Processed Instances'!$H$5:$H$63,MATCH(B44,'Processed Instances'!$B$5:$B$63,0))</f>
        <v>4-Day Program</v>
      </c>
      <c r="D44" s="7" t="n">
        <f aca="false">SUMIF('Processed Instances'!$B$5:$B$63,B44,'Processed Instances'!$J$5:$J$63)</f>
        <v>90</v>
      </c>
      <c r="E44" s="7" t="n">
        <f aca="false">COUNTIF('Processed Instances'!$B$5:$B$63,B44)</f>
        <v>3</v>
      </c>
    </row>
    <row r="45" customFormat="false" ht="23.85" hidden="false" customHeight="false" outlineLevel="0" collapsed="false">
      <c r="A45" s="24" t="s">
        <v>90</v>
      </c>
      <c r="B45" s="24"/>
      <c r="C45" s="24"/>
      <c r="D45" s="25" t="n">
        <f aca="false">SUM(D35:D44)/G9</f>
        <v>0.690322580645161</v>
      </c>
      <c r="E45" s="24"/>
    </row>
    <row r="48" customFormat="false" ht="15" hidden="false" customHeight="false" outlineLevel="0" collapsed="false">
      <c r="A48" s="6" t="s">
        <v>91</v>
      </c>
    </row>
    <row r="49" customFormat="false" ht="42" hidden="false" customHeight="true" outlineLevel="0" collapsed="false">
      <c r="A49" s="3" t="s">
        <v>92</v>
      </c>
      <c r="B49" s="3" t="s">
        <v>93</v>
      </c>
      <c r="C49" s="3" t="s">
        <v>94</v>
      </c>
      <c r="D49" s="3" t="s">
        <v>95</v>
      </c>
    </row>
    <row r="50" customFormat="false" ht="15" hidden="false" customHeight="false" outlineLevel="0" collapsed="false">
      <c r="A50" s="7" t="s">
        <v>96</v>
      </c>
      <c r="B50" s="7" t="s">
        <v>96</v>
      </c>
      <c r="C50" s="7" t="n">
        <f aca="false">COUNTIF('Sample Input'!$I$5:$I$63,B50)</f>
        <v>38</v>
      </c>
      <c r="D50" s="17" t="n">
        <f aca="false">IFERROR(C50/$C$56,0)</f>
        <v>0.644067796610169</v>
      </c>
    </row>
    <row r="51" customFormat="false" ht="15" hidden="false" customHeight="false" outlineLevel="0" collapsed="false">
      <c r="A51" s="7" t="s">
        <v>97</v>
      </c>
      <c r="B51" s="7" t="s">
        <v>98</v>
      </c>
      <c r="C51" s="7" t="n">
        <f aca="false">COUNTIF('Sample Input'!$I$5:$I$63,B51)</f>
        <v>5</v>
      </c>
      <c r="D51" s="17" t="n">
        <f aca="false">IFERROR(C51/$C$56,0)</f>
        <v>0.0847457627118644</v>
      </c>
    </row>
    <row r="52" customFormat="false" ht="15" hidden="false" customHeight="false" outlineLevel="0" collapsed="false">
      <c r="A52" s="7" t="s">
        <v>99</v>
      </c>
      <c r="B52" s="7" t="s">
        <v>100</v>
      </c>
      <c r="C52" s="7" t="n">
        <f aca="false">COUNTIF('Sample Input'!$I$5:$I$63,B52)</f>
        <v>5</v>
      </c>
      <c r="D52" s="17" t="n">
        <f aca="false">IFERROR(C52/$C$56,0)</f>
        <v>0.0847457627118644</v>
      </c>
    </row>
    <row r="53" customFormat="false" ht="15" hidden="false" customHeight="false" outlineLevel="0" collapsed="false">
      <c r="A53" s="7" t="s">
        <v>101</v>
      </c>
      <c r="B53" s="7" t="s">
        <v>102</v>
      </c>
      <c r="C53" s="7" t="n">
        <f aca="false">COUNTIF('Sample Input'!$I$5:$I$63,B53)</f>
        <v>4</v>
      </c>
      <c r="D53" s="17" t="n">
        <f aca="false">IFERROR(C53/$C$56,0)</f>
        <v>0.0677966101694915</v>
      </c>
    </row>
    <row r="54" customFormat="false" ht="15" hidden="false" customHeight="false" outlineLevel="0" collapsed="false">
      <c r="A54" s="7" t="s">
        <v>103</v>
      </c>
      <c r="B54" s="7" t="s">
        <v>104</v>
      </c>
      <c r="C54" s="7" t="n">
        <f aca="false">COUNTIF('Sample Input'!$I$5:$I$63,B54)</f>
        <v>3</v>
      </c>
      <c r="D54" s="17" t="n">
        <f aca="false">IFERROR(C54/$C$56,0)</f>
        <v>0.0508474576271187</v>
      </c>
    </row>
    <row r="55" customFormat="false" ht="15" hidden="false" customHeight="false" outlineLevel="0" collapsed="false">
      <c r="A55" s="7" t="s">
        <v>105</v>
      </c>
      <c r="B55" s="7" t="s">
        <v>106</v>
      </c>
      <c r="C55" s="7" t="n">
        <f aca="false">COUNTIF('Sample Input'!$I$5:$I$63,B55)</f>
        <v>4</v>
      </c>
      <c r="D55" s="17" t="n">
        <f aca="false">IFERROR(C55/$C$56,0)</f>
        <v>0.0677966101694915</v>
      </c>
    </row>
    <row r="56" customFormat="false" ht="15" hidden="false" customHeight="false" outlineLevel="0" collapsed="false">
      <c r="A56" s="20" t="s">
        <v>107</v>
      </c>
      <c r="B56" s="20"/>
      <c r="C56" s="20" t="n">
        <f aca="false">SUM(C50:C55)</f>
        <v>59</v>
      </c>
      <c r="D56" s="21" t="n">
        <f aca="false">SUM(D50:D55)</f>
        <v>1</v>
      </c>
    </row>
    <row r="59" customFormat="false" ht="15" hidden="false" customHeight="false" outlineLevel="0" collapsed="false">
      <c r="A59" s="6" t="s">
        <v>108</v>
      </c>
    </row>
    <row r="60" customFormat="false" ht="42" hidden="false" customHeight="true" outlineLevel="0" collapsed="false">
      <c r="A60" s="3" t="s">
        <v>109</v>
      </c>
      <c r="B60" s="3" t="s">
        <v>110</v>
      </c>
      <c r="C60" s="3" t="s">
        <v>111</v>
      </c>
      <c r="D60" s="3" t="s">
        <v>112</v>
      </c>
    </row>
    <row r="61" customFormat="false" ht="15" hidden="false" customHeight="false" outlineLevel="0" collapsed="false">
      <c r="A61" s="7" t="s">
        <v>113</v>
      </c>
      <c r="B61" s="7" t="n">
        <v>1</v>
      </c>
      <c r="C61" s="7" t="n">
        <f aca="false">COUNTIFS('Sample Input'!$I$5:$I$63,"Valid",'Sample Input'!$J$5:$J$63,B61)</f>
        <v>22</v>
      </c>
      <c r="D61" s="17" t="n">
        <f aca="false">IFERROR(C61/SUM($C$61:$C$63),0)</f>
        <v>0.578947368421053</v>
      </c>
    </row>
    <row r="62" customFormat="false" ht="15" hidden="false" customHeight="false" outlineLevel="0" collapsed="false">
      <c r="A62" s="7" t="s">
        <v>114</v>
      </c>
      <c r="B62" s="7" t="n">
        <v>2</v>
      </c>
      <c r="C62" s="7" t="n">
        <f aca="false">COUNTIFS('Sample Input'!$I$5:$I$63,"Valid",'Sample Input'!$J$5:$J$63,B62)</f>
        <v>11</v>
      </c>
      <c r="D62" s="17" t="n">
        <f aca="false">IFERROR(C62/SUM($C$61:$C$63),0)</f>
        <v>0.289473684210526</v>
      </c>
    </row>
    <row r="63" customFormat="false" ht="15" hidden="false" customHeight="false" outlineLevel="0" collapsed="false">
      <c r="A63" s="7" t="s">
        <v>115</v>
      </c>
      <c r="B63" s="7" t="n">
        <v>3</v>
      </c>
      <c r="C63" s="7" t="n">
        <f aca="false">COUNTIFS('Sample Input'!$I$5:$I$63,"Valid",'Sample Input'!$J$5:$J$63,B63)</f>
        <v>5</v>
      </c>
      <c r="D63" s="17" t="n">
        <f aca="false">IFERROR(C63/SUM($C$61:$C$63),0)</f>
        <v>0.131578947368421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62"/>
    <col collapsed="false" customWidth="true" hidden="false" outlineLevel="0" max="5" min="5" style="0" width="24"/>
  </cols>
  <sheetData>
    <row r="1" customFormat="false" ht="19.7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117</v>
      </c>
    </row>
    <row r="4" customFormat="false" ht="15" hidden="false" customHeight="false" outlineLevel="0" collapsed="false">
      <c r="A4" s="3" t="s">
        <v>118</v>
      </c>
      <c r="B4" s="3" t="s">
        <v>119</v>
      </c>
      <c r="C4" s="3" t="s">
        <v>120</v>
      </c>
      <c r="D4" s="3" t="s">
        <v>121</v>
      </c>
      <c r="E4" s="3" t="s">
        <v>122</v>
      </c>
    </row>
    <row r="5" customFormat="false" ht="42" hidden="false" customHeight="true" outlineLevel="0" collapsed="false">
      <c r="A5" s="26" t="n">
        <v>1</v>
      </c>
      <c r="B5" s="7" t="s">
        <v>123</v>
      </c>
      <c r="C5" s="7" t="s">
        <v>124</v>
      </c>
      <c r="D5" s="7" t="s">
        <v>125</v>
      </c>
      <c r="E5" s="7" t="s">
        <v>126</v>
      </c>
    </row>
    <row r="6" customFormat="false" ht="42" hidden="false" customHeight="true" outlineLevel="0" collapsed="false">
      <c r="A6" s="26" t="n">
        <v>2</v>
      </c>
      <c r="B6" s="7" t="s">
        <v>127</v>
      </c>
      <c r="C6" s="7" t="s">
        <v>128</v>
      </c>
      <c r="D6" s="7" t="s">
        <v>129</v>
      </c>
      <c r="E6" s="7" t="s">
        <v>130</v>
      </c>
    </row>
    <row r="7" customFormat="false" ht="42" hidden="false" customHeight="true" outlineLevel="0" collapsed="false">
      <c r="A7" s="26" t="n">
        <v>3</v>
      </c>
      <c r="B7" s="7" t="s">
        <v>131</v>
      </c>
      <c r="C7" s="7" t="s">
        <v>132</v>
      </c>
      <c r="D7" s="7" t="s">
        <v>133</v>
      </c>
      <c r="E7" s="7" t="s">
        <v>134</v>
      </c>
    </row>
    <row r="8" customFormat="false" ht="42" hidden="false" customHeight="true" outlineLevel="0" collapsed="false">
      <c r="A8" s="26" t="n">
        <v>4</v>
      </c>
      <c r="B8" s="7" t="s">
        <v>135</v>
      </c>
      <c r="C8" s="7" t="s">
        <v>136</v>
      </c>
      <c r="D8" s="7" t="s">
        <v>137</v>
      </c>
      <c r="E8" s="7" t="s">
        <v>130</v>
      </c>
    </row>
    <row r="9" customFormat="false" ht="42" hidden="false" customHeight="true" outlineLevel="0" collapsed="false">
      <c r="A9" s="26" t="n">
        <v>5</v>
      </c>
      <c r="B9" s="7" t="s">
        <v>138</v>
      </c>
      <c r="C9" s="7" t="s">
        <v>139</v>
      </c>
      <c r="D9" s="7" t="s">
        <v>140</v>
      </c>
      <c r="E9" s="7" t="s">
        <v>130</v>
      </c>
    </row>
    <row r="10" customFormat="false" ht="42" hidden="false" customHeight="true" outlineLevel="0" collapsed="false">
      <c r="A10" s="26" t="n">
        <v>6</v>
      </c>
      <c r="B10" s="7" t="s">
        <v>141</v>
      </c>
      <c r="C10" s="7" t="s">
        <v>142</v>
      </c>
      <c r="D10" s="7" t="s">
        <v>143</v>
      </c>
      <c r="E10" s="7" t="s">
        <v>126</v>
      </c>
    </row>
    <row r="11" customFormat="false" ht="42" hidden="false" customHeight="true" outlineLevel="0" collapsed="false">
      <c r="A11" s="26" t="n">
        <v>7</v>
      </c>
      <c r="B11" s="7" t="s">
        <v>144</v>
      </c>
      <c r="C11" s="7" t="s">
        <v>145</v>
      </c>
      <c r="D11" s="7" t="s">
        <v>146</v>
      </c>
      <c r="E11" s="7" t="s">
        <v>130</v>
      </c>
    </row>
    <row r="12" customFormat="false" ht="42" hidden="false" customHeight="true" outlineLevel="0" collapsed="false">
      <c r="A12" s="26" t="n">
        <v>8</v>
      </c>
      <c r="B12" s="7" t="s">
        <v>147</v>
      </c>
      <c r="C12" s="7" t="s">
        <v>148</v>
      </c>
      <c r="D12" s="7" t="s">
        <v>149</v>
      </c>
      <c r="E12" s="7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5" min="4" style="0" width="14"/>
    <col collapsed="false" customWidth="true" hidden="false" outlineLevel="0" max="6" min="6" style="0" width="18"/>
  </cols>
  <sheetData>
    <row r="1" customFormat="false" ht="19.7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152</v>
      </c>
    </row>
    <row r="4" customFormat="false" ht="15" hidden="false" customHeight="false" outlineLevel="0" collapsed="false">
      <c r="A4" s="3" t="s">
        <v>153</v>
      </c>
      <c r="B4" s="3" t="s">
        <v>43</v>
      </c>
      <c r="C4" s="3" t="s">
        <v>44</v>
      </c>
      <c r="D4" s="3" t="s">
        <v>154</v>
      </c>
      <c r="E4" s="3" t="s">
        <v>155</v>
      </c>
      <c r="F4" s="3" t="s">
        <v>45</v>
      </c>
    </row>
    <row r="5" customFormat="false" ht="15" hidden="false" customHeight="false" outlineLevel="0" collapsed="false">
      <c r="A5" s="7" t="s">
        <v>156</v>
      </c>
      <c r="B5" s="7" t="s">
        <v>54</v>
      </c>
      <c r="C5" s="7" t="n">
        <v>1</v>
      </c>
      <c r="D5" s="27" t="n">
        <v>45936</v>
      </c>
      <c r="E5" s="27" t="n">
        <f aca="false">D5+C5-1</f>
        <v>45936</v>
      </c>
      <c r="F5" s="28" t="n">
        <v>10</v>
      </c>
    </row>
    <row r="6" customFormat="false" ht="15" hidden="false" customHeight="false" outlineLevel="0" collapsed="false">
      <c r="A6" s="7" t="s">
        <v>157</v>
      </c>
      <c r="B6" s="7" t="s">
        <v>55</v>
      </c>
      <c r="C6" s="7" t="n">
        <v>2</v>
      </c>
      <c r="D6" s="27" t="n">
        <v>45937</v>
      </c>
      <c r="E6" s="27" t="n">
        <f aca="false">D6+C6-1</f>
        <v>45938</v>
      </c>
      <c r="F6" s="28" t="n">
        <v>10</v>
      </c>
    </row>
    <row r="7" customFormat="false" ht="15" hidden="false" customHeight="false" outlineLevel="0" collapsed="false">
      <c r="A7" s="7" t="s">
        <v>158</v>
      </c>
      <c r="B7" s="7" t="s">
        <v>56</v>
      </c>
      <c r="C7" s="7" t="n">
        <v>4</v>
      </c>
      <c r="D7" s="27" t="n">
        <v>45943</v>
      </c>
      <c r="E7" s="27" t="n">
        <f aca="false">D7+C7-1</f>
        <v>45946</v>
      </c>
      <c r="F7" s="28" t="n">
        <v>10</v>
      </c>
    </row>
    <row r="8" customFormat="false" ht="15" hidden="false" customHeight="false" outlineLevel="0" collapsed="false">
      <c r="A8" s="7" t="s">
        <v>159</v>
      </c>
      <c r="B8" s="7" t="s">
        <v>57</v>
      </c>
      <c r="C8" s="7" t="n">
        <v>5</v>
      </c>
      <c r="D8" s="27" t="n">
        <v>45950</v>
      </c>
      <c r="E8" s="27" t="n">
        <f aca="false">D8+C8-1</f>
        <v>45954</v>
      </c>
      <c r="F8" s="28" t="n">
        <v>10</v>
      </c>
    </row>
    <row r="10" customFormat="false" ht="15" hidden="false" customHeight="false" outlineLevel="0" collapsed="false">
      <c r="A10" s="29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9.7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4" customFormat="false" ht="15" hidden="false" customHeight="false" outlineLevel="0" collapsed="false">
      <c r="A4" s="3" t="s">
        <v>163</v>
      </c>
      <c r="B4" s="3" t="s">
        <v>164</v>
      </c>
    </row>
    <row r="5" customFormat="false" ht="15" hidden="false" customHeight="false" outlineLevel="0" collapsed="false">
      <c r="A5" s="7" t="s">
        <v>165</v>
      </c>
      <c r="B5" s="7" t="s">
        <v>166</v>
      </c>
    </row>
    <row r="6" customFormat="false" ht="15" hidden="false" customHeight="false" outlineLevel="0" collapsed="false">
      <c r="A6" s="7" t="s">
        <v>167</v>
      </c>
      <c r="B6" s="7" t="s">
        <v>168</v>
      </c>
    </row>
    <row r="7" customFormat="false" ht="15" hidden="false" customHeight="false" outlineLevel="0" collapsed="false">
      <c r="A7" s="7" t="s">
        <v>169</v>
      </c>
      <c r="B7" s="7" t="s">
        <v>170</v>
      </c>
    </row>
    <row r="8" customFormat="false" ht="15" hidden="false" customHeight="false" outlineLevel="0" collapsed="false">
      <c r="A8" s="7" t="s">
        <v>171</v>
      </c>
      <c r="B8" s="7" t="s">
        <v>172</v>
      </c>
    </row>
    <row r="9" customFormat="false" ht="15" hidden="false" customHeight="false" outlineLevel="0" collapsed="false">
      <c r="A9" s="7" t="s">
        <v>173</v>
      </c>
      <c r="B9" s="7" t="s">
        <v>174</v>
      </c>
    </row>
    <row r="10" customFormat="false" ht="15" hidden="false" customHeight="false" outlineLevel="0" collapsed="false">
      <c r="A10" s="7" t="s">
        <v>175</v>
      </c>
      <c r="B10" s="7" t="s">
        <v>176</v>
      </c>
    </row>
    <row r="11" customFormat="false" ht="15" hidden="false" customHeight="false" outlineLevel="0" collapsed="false">
      <c r="A11" s="7" t="s">
        <v>177</v>
      </c>
      <c r="B11" s="7" t="s">
        <v>178</v>
      </c>
    </row>
    <row r="12" customFormat="false" ht="15" hidden="false" customHeight="false" outlineLevel="0" collapsed="false">
      <c r="A12" s="7" t="s">
        <v>179</v>
      </c>
      <c r="B12" s="7" t="s">
        <v>180</v>
      </c>
    </row>
    <row r="13" customFormat="false" ht="15" hidden="false" customHeight="false" outlineLevel="0" collapsed="false">
      <c r="A13" s="7" t="s">
        <v>181</v>
      </c>
      <c r="B13" s="7" t="s">
        <v>182</v>
      </c>
    </row>
    <row r="14" customFormat="false" ht="15" hidden="false" customHeight="false" outlineLevel="0" collapsed="false">
      <c r="A14" s="7" t="s">
        <v>183</v>
      </c>
      <c r="B14" s="7" t="s">
        <v>184</v>
      </c>
    </row>
    <row r="15" customFormat="false" ht="15" hidden="false" customHeight="false" outlineLevel="0" collapsed="false">
      <c r="A15" s="7" t="s">
        <v>185</v>
      </c>
      <c r="B15" s="7" t="s">
        <v>186</v>
      </c>
    </row>
    <row r="16" customFormat="false" ht="15" hidden="false" customHeight="false" outlineLevel="0" collapsed="false">
      <c r="A16" s="7" t="s">
        <v>187</v>
      </c>
      <c r="B16" s="7" t="s">
        <v>188</v>
      </c>
    </row>
    <row r="17" customFormat="false" ht="15" hidden="false" customHeight="false" outlineLevel="0" collapsed="false">
      <c r="A17" s="7" t="s">
        <v>189</v>
      </c>
      <c r="B17" s="7" t="s">
        <v>190</v>
      </c>
    </row>
    <row r="18" customFormat="false" ht="15" hidden="false" customHeight="false" outlineLevel="0" collapsed="false">
      <c r="A18" s="7" t="s">
        <v>191</v>
      </c>
      <c r="B18" s="7" t="s">
        <v>192</v>
      </c>
    </row>
    <row r="19" customFormat="false" ht="15" hidden="false" customHeight="false" outlineLevel="0" collapsed="false">
      <c r="A19" s="7" t="s">
        <v>193</v>
      </c>
      <c r="B19" s="7" t="s">
        <v>194</v>
      </c>
    </row>
    <row r="20" customFormat="false" ht="15" hidden="false" customHeight="false" outlineLevel="0" collapsed="false">
      <c r="A20" s="7" t="s">
        <v>195</v>
      </c>
      <c r="B20" s="7" t="s">
        <v>196</v>
      </c>
    </row>
    <row r="21" customFormat="false" ht="15" hidden="false" customHeight="false" outlineLevel="0" collapsed="false">
      <c r="A21" s="7" t="s">
        <v>197</v>
      </c>
      <c r="B21" s="7" t="s">
        <v>198</v>
      </c>
    </row>
    <row r="22" customFormat="false" ht="15" hidden="false" customHeight="false" outlineLevel="0" collapsed="false">
      <c r="A22" s="7" t="s">
        <v>199</v>
      </c>
      <c r="B22" s="7" t="s">
        <v>200</v>
      </c>
    </row>
    <row r="23" customFormat="false" ht="15" hidden="false" customHeight="false" outlineLevel="0" collapsed="false">
      <c r="A23" s="7" t="s">
        <v>201</v>
      </c>
      <c r="B23" s="7" t="s">
        <v>202</v>
      </c>
    </row>
    <row r="24" customFormat="false" ht="15" hidden="false" customHeight="false" outlineLevel="0" collapsed="false">
      <c r="A24" s="7" t="s">
        <v>203</v>
      </c>
      <c r="B24" s="7" t="s">
        <v>204</v>
      </c>
    </row>
    <row r="25" customFormat="false" ht="15" hidden="false" customHeight="false" outlineLevel="0" collapsed="false">
      <c r="A25" s="7" t="s">
        <v>205</v>
      </c>
      <c r="B25" s="7" t="s">
        <v>206</v>
      </c>
    </row>
    <row r="26" customFormat="false" ht="15" hidden="false" customHeight="false" outlineLevel="0" collapsed="false">
      <c r="A26" s="7" t="s">
        <v>207</v>
      </c>
      <c r="B26" s="7" t="s">
        <v>208</v>
      </c>
    </row>
    <row r="27" customFormat="false" ht="15" hidden="false" customHeight="false" outlineLevel="0" collapsed="false">
      <c r="A27" s="7" t="s">
        <v>209</v>
      </c>
      <c r="B27" s="7" t="s">
        <v>210</v>
      </c>
    </row>
    <row r="28" customFormat="false" ht="15" hidden="false" customHeight="false" outlineLevel="0" collapsed="false">
      <c r="A28" s="7" t="s">
        <v>211</v>
      </c>
      <c r="B28" s="7" t="s">
        <v>212</v>
      </c>
    </row>
    <row r="29" customFormat="false" ht="15" hidden="false" customHeight="false" outlineLevel="0" collapsed="false">
      <c r="A29" s="7" t="s">
        <v>213</v>
      </c>
      <c r="B29" s="7" t="s">
        <v>214</v>
      </c>
    </row>
    <row r="30" customFormat="false" ht="15" hidden="false" customHeight="false" outlineLevel="0" collapsed="false">
      <c r="A30" s="7" t="s">
        <v>215</v>
      </c>
      <c r="B30" s="7" t="s">
        <v>216</v>
      </c>
    </row>
    <row r="31" customFormat="false" ht="15" hidden="false" customHeight="false" outlineLevel="0" collapsed="false">
      <c r="A31" s="7" t="s">
        <v>217</v>
      </c>
      <c r="B31" s="7" t="s">
        <v>218</v>
      </c>
    </row>
    <row r="32" customFormat="false" ht="15" hidden="false" customHeight="false" outlineLevel="0" collapsed="false">
      <c r="A32" s="7" t="s">
        <v>219</v>
      </c>
      <c r="B32" s="7" t="s">
        <v>220</v>
      </c>
    </row>
    <row r="33" customFormat="false" ht="15" hidden="false" customHeight="false" outlineLevel="0" collapsed="false">
      <c r="A33" s="7" t="s">
        <v>221</v>
      </c>
      <c r="B33" s="7" t="s">
        <v>222</v>
      </c>
    </row>
    <row r="34" customFormat="false" ht="15" hidden="false" customHeight="false" outlineLevel="0" collapsed="false">
      <c r="A34" s="7" t="s">
        <v>223</v>
      </c>
      <c r="B34" s="7" t="s">
        <v>224</v>
      </c>
    </row>
    <row r="35" customFormat="false" ht="15" hidden="false" customHeight="false" outlineLevel="0" collapsed="false">
      <c r="A35" s="7" t="s">
        <v>225</v>
      </c>
      <c r="B35" s="7" t="s">
        <v>226</v>
      </c>
    </row>
    <row r="36" customFormat="false" ht="15" hidden="false" customHeight="false" outlineLevel="0" collapsed="false">
      <c r="A36" s="7" t="s">
        <v>227</v>
      </c>
      <c r="B36" s="7" t="s">
        <v>228</v>
      </c>
    </row>
    <row r="37" customFormat="false" ht="15" hidden="false" customHeight="false" outlineLevel="0" collapsed="false">
      <c r="A37" s="7" t="s">
        <v>229</v>
      </c>
      <c r="B37" s="7" t="s">
        <v>230</v>
      </c>
    </row>
    <row r="38" customFormat="false" ht="15" hidden="false" customHeight="false" outlineLevel="0" collapsed="false">
      <c r="A38" s="7" t="s">
        <v>231</v>
      </c>
      <c r="B38" s="7" t="s">
        <v>232</v>
      </c>
    </row>
    <row r="39" customFormat="false" ht="15" hidden="false" customHeight="false" outlineLevel="0" collapsed="false">
      <c r="A39" s="7" t="s">
        <v>233</v>
      </c>
      <c r="B39" s="7" t="s">
        <v>234</v>
      </c>
    </row>
    <row r="40" customFormat="false" ht="15" hidden="false" customHeight="false" outlineLevel="0" collapsed="false">
      <c r="A40" s="7" t="s">
        <v>235</v>
      </c>
      <c r="B40" s="7" t="s">
        <v>236</v>
      </c>
    </row>
    <row r="41" customFormat="false" ht="15" hidden="false" customHeight="false" outlineLevel="0" collapsed="false">
      <c r="A41" s="7" t="s">
        <v>237</v>
      </c>
      <c r="B41" s="7" t="s">
        <v>238</v>
      </c>
    </row>
    <row r="42" customFormat="false" ht="15" hidden="false" customHeight="false" outlineLevel="0" collapsed="false">
      <c r="A42" s="7" t="s">
        <v>239</v>
      </c>
      <c r="B42" s="7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40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241</v>
      </c>
    </row>
    <row r="2" customFormat="false" ht="15" hidden="false" customHeight="false" outlineLevel="0" collapsed="false">
      <c r="A2" s="2" t="s">
        <v>242</v>
      </c>
    </row>
    <row r="4" customFormat="false" ht="15" hidden="false" customHeight="false" outlineLevel="0" collapsed="false">
      <c r="A4" s="3" t="s">
        <v>243</v>
      </c>
      <c r="B4" s="3" t="s">
        <v>163</v>
      </c>
      <c r="C4" s="3" t="s">
        <v>164</v>
      </c>
      <c r="D4" s="3" t="s">
        <v>153</v>
      </c>
      <c r="E4" s="3" t="s">
        <v>244</v>
      </c>
      <c r="F4" s="3" t="s">
        <v>245</v>
      </c>
    </row>
    <row r="5" customFormat="false" ht="15" hidden="false" customHeight="false" outlineLevel="0" collapsed="false">
      <c r="A5" s="30" t="s">
        <v>246</v>
      </c>
      <c r="B5" s="30" t="s">
        <v>165</v>
      </c>
      <c r="C5" s="30" t="s">
        <v>166</v>
      </c>
      <c r="D5" s="30" t="s">
        <v>156</v>
      </c>
      <c r="E5" s="30" t="s">
        <v>247</v>
      </c>
      <c r="F5" s="31" t="n">
        <f aca="false">LEN(E5)</f>
        <v>28</v>
      </c>
    </row>
    <row r="6" customFormat="false" ht="15" hidden="false" customHeight="false" outlineLevel="0" collapsed="false">
      <c r="A6" s="30" t="s">
        <v>88</v>
      </c>
      <c r="B6" s="30" t="s">
        <v>167</v>
      </c>
      <c r="C6" s="30" t="s">
        <v>168</v>
      </c>
      <c r="D6" s="30" t="s">
        <v>156</v>
      </c>
      <c r="E6" s="30" t="s">
        <v>248</v>
      </c>
      <c r="F6" s="31" t="n">
        <f aca="false">LEN(E6)</f>
        <v>28</v>
      </c>
    </row>
    <row r="7" customFormat="false" ht="15" hidden="false" customHeight="false" outlineLevel="0" collapsed="false">
      <c r="A7" s="30" t="s">
        <v>249</v>
      </c>
      <c r="B7" s="30" t="s">
        <v>169</v>
      </c>
      <c r="C7" s="30" t="s">
        <v>170</v>
      </c>
      <c r="D7" s="30" t="s">
        <v>156</v>
      </c>
      <c r="E7" s="30" t="s">
        <v>250</v>
      </c>
      <c r="F7" s="31" t="n">
        <f aca="false">LEN(E7)</f>
        <v>30</v>
      </c>
    </row>
    <row r="8" customFormat="false" ht="15" hidden="false" customHeight="false" outlineLevel="0" collapsed="false">
      <c r="A8" s="30" t="s">
        <v>251</v>
      </c>
      <c r="B8" s="30" t="s">
        <v>171</v>
      </c>
      <c r="C8" s="30" t="s">
        <v>172</v>
      </c>
      <c r="D8" s="30" t="s">
        <v>156</v>
      </c>
      <c r="E8" s="30" t="s">
        <v>252</v>
      </c>
      <c r="F8" s="31" t="n">
        <f aca="false">LEN(E8)</f>
        <v>24</v>
      </c>
    </row>
    <row r="9" customFormat="false" ht="15" hidden="false" customHeight="false" outlineLevel="0" collapsed="false">
      <c r="A9" s="30" t="s">
        <v>253</v>
      </c>
      <c r="B9" s="30" t="s">
        <v>173</v>
      </c>
      <c r="C9" s="30" t="s">
        <v>174</v>
      </c>
      <c r="D9" s="30" t="s">
        <v>156</v>
      </c>
      <c r="E9" s="30" t="s">
        <v>254</v>
      </c>
      <c r="F9" s="31" t="n">
        <f aca="false">LEN(E9)</f>
        <v>29</v>
      </c>
    </row>
    <row r="10" customFormat="false" ht="15" hidden="false" customHeight="false" outlineLevel="0" collapsed="false">
      <c r="A10" s="30" t="s">
        <v>255</v>
      </c>
      <c r="B10" s="30" t="s">
        <v>175</v>
      </c>
      <c r="C10" s="30" t="s">
        <v>176</v>
      </c>
      <c r="D10" s="30" t="s">
        <v>156</v>
      </c>
      <c r="E10" s="30" t="s">
        <v>256</v>
      </c>
      <c r="F10" s="31" t="n">
        <f aca="false">LEN(E10)</f>
        <v>29</v>
      </c>
    </row>
    <row r="11" customFormat="false" ht="15" hidden="false" customHeight="false" outlineLevel="0" collapsed="false">
      <c r="A11" s="30" t="s">
        <v>257</v>
      </c>
      <c r="B11" s="30" t="s">
        <v>177</v>
      </c>
      <c r="C11" s="30" t="s">
        <v>178</v>
      </c>
      <c r="D11" s="30" t="s">
        <v>156</v>
      </c>
      <c r="E11" s="30" t="s">
        <v>258</v>
      </c>
      <c r="F11" s="31" t="n">
        <f aca="false">LEN(E11)</f>
        <v>28</v>
      </c>
    </row>
    <row r="12" customFormat="false" ht="15" hidden="false" customHeight="false" outlineLevel="0" collapsed="false">
      <c r="A12" s="30" t="s">
        <v>259</v>
      </c>
      <c r="B12" s="30" t="s">
        <v>179</v>
      </c>
      <c r="C12" s="30" t="s">
        <v>180</v>
      </c>
      <c r="D12" s="30" t="s">
        <v>156</v>
      </c>
      <c r="E12" s="30" t="s">
        <v>260</v>
      </c>
      <c r="F12" s="31" t="n">
        <f aca="false">LEN(E12)</f>
        <v>29</v>
      </c>
    </row>
    <row r="13" customFormat="false" ht="15" hidden="false" customHeight="false" outlineLevel="0" collapsed="false">
      <c r="A13" s="30" t="s">
        <v>261</v>
      </c>
      <c r="B13" s="30" t="s">
        <v>181</v>
      </c>
      <c r="C13" s="30" t="s">
        <v>182</v>
      </c>
      <c r="D13" s="30" t="s">
        <v>156</v>
      </c>
      <c r="E13" s="30" t="s">
        <v>262</v>
      </c>
      <c r="F13" s="31" t="n">
        <f aca="false">LEN(E13)</f>
        <v>26</v>
      </c>
    </row>
    <row r="14" customFormat="false" ht="15" hidden="false" customHeight="false" outlineLevel="0" collapsed="false">
      <c r="A14" s="30" t="s">
        <v>263</v>
      </c>
      <c r="B14" s="30" t="s">
        <v>183</v>
      </c>
      <c r="C14" s="30" t="s">
        <v>184</v>
      </c>
      <c r="D14" s="30" t="s">
        <v>156</v>
      </c>
      <c r="E14" s="30" t="s">
        <v>264</v>
      </c>
      <c r="F14" s="31" t="n">
        <f aca="false">LEN(E14)</f>
        <v>27</v>
      </c>
    </row>
    <row r="15" customFormat="false" ht="15" hidden="false" customHeight="false" outlineLevel="0" collapsed="false">
      <c r="A15" s="30" t="s">
        <v>265</v>
      </c>
      <c r="B15" s="30" t="s">
        <v>185</v>
      </c>
      <c r="C15" s="30" t="s">
        <v>186</v>
      </c>
      <c r="D15" s="30" t="s">
        <v>157</v>
      </c>
      <c r="E15" s="30" t="s">
        <v>266</v>
      </c>
      <c r="F15" s="31" t="n">
        <f aca="false">LEN(E15)</f>
        <v>25</v>
      </c>
    </row>
    <row r="16" customFormat="false" ht="15" hidden="false" customHeight="false" outlineLevel="0" collapsed="false">
      <c r="A16" s="30" t="s">
        <v>267</v>
      </c>
      <c r="B16" s="30" t="s">
        <v>187</v>
      </c>
      <c r="C16" s="30" t="s">
        <v>188</v>
      </c>
      <c r="D16" s="30" t="s">
        <v>157</v>
      </c>
      <c r="E16" s="30" t="s">
        <v>268</v>
      </c>
      <c r="F16" s="31" t="n">
        <f aca="false">LEN(E16)</f>
        <v>25</v>
      </c>
    </row>
    <row r="17" customFormat="false" ht="15" hidden="false" customHeight="false" outlineLevel="0" collapsed="false">
      <c r="A17" s="30" t="s">
        <v>269</v>
      </c>
      <c r="B17" s="30" t="s">
        <v>189</v>
      </c>
      <c r="C17" s="30" t="s">
        <v>190</v>
      </c>
      <c r="D17" s="30" t="s">
        <v>157</v>
      </c>
      <c r="E17" s="30" t="s">
        <v>270</v>
      </c>
      <c r="F17" s="31" t="n">
        <f aca="false">LEN(E17)</f>
        <v>30</v>
      </c>
    </row>
    <row r="18" customFormat="false" ht="15" hidden="false" customHeight="false" outlineLevel="0" collapsed="false">
      <c r="A18" s="30" t="s">
        <v>271</v>
      </c>
      <c r="B18" s="30" t="s">
        <v>191</v>
      </c>
      <c r="C18" s="30" t="s">
        <v>192</v>
      </c>
      <c r="D18" s="30" t="s">
        <v>157</v>
      </c>
      <c r="E18" s="30" t="s">
        <v>272</v>
      </c>
      <c r="F18" s="31" t="n">
        <f aca="false">LEN(E18)</f>
        <v>26</v>
      </c>
    </row>
    <row r="19" customFormat="false" ht="15" hidden="false" customHeight="false" outlineLevel="0" collapsed="false">
      <c r="A19" s="30" t="s">
        <v>273</v>
      </c>
      <c r="B19" s="30" t="s">
        <v>274</v>
      </c>
      <c r="C19" s="30" t="s">
        <v>275</v>
      </c>
      <c r="D19" s="30" t="s">
        <v>157</v>
      </c>
      <c r="E19" s="30" t="s">
        <v>276</v>
      </c>
      <c r="F19" s="31" t="n">
        <f aca="false">LEN(E19)</f>
        <v>28</v>
      </c>
    </row>
    <row r="20" customFormat="false" ht="15" hidden="false" customHeight="false" outlineLevel="0" collapsed="false">
      <c r="A20" s="30" t="s">
        <v>277</v>
      </c>
      <c r="B20" s="30" t="s">
        <v>193</v>
      </c>
      <c r="C20" s="30" t="s">
        <v>194</v>
      </c>
      <c r="D20" s="30" t="s">
        <v>157</v>
      </c>
      <c r="E20" s="30" t="s">
        <v>278</v>
      </c>
      <c r="F20" s="31" t="n">
        <f aca="false">LEN(E20)</f>
        <v>27</v>
      </c>
    </row>
    <row r="21" customFormat="false" ht="15" hidden="false" customHeight="false" outlineLevel="0" collapsed="false">
      <c r="A21" s="30" t="s">
        <v>279</v>
      </c>
      <c r="B21" s="30" t="s">
        <v>195</v>
      </c>
      <c r="C21" s="30" t="s">
        <v>196</v>
      </c>
      <c r="D21" s="30" t="s">
        <v>157</v>
      </c>
      <c r="E21" s="30" t="s">
        <v>280</v>
      </c>
      <c r="F21" s="31" t="n">
        <f aca="false">LEN(E21)</f>
        <v>25</v>
      </c>
    </row>
    <row r="22" customFormat="false" ht="15" hidden="false" customHeight="false" outlineLevel="0" collapsed="false">
      <c r="A22" s="30" t="s">
        <v>281</v>
      </c>
      <c r="B22" s="30" t="s">
        <v>197</v>
      </c>
      <c r="C22" s="30" t="s">
        <v>198</v>
      </c>
      <c r="D22" s="30" t="s">
        <v>157</v>
      </c>
      <c r="E22" s="30" t="s">
        <v>282</v>
      </c>
      <c r="F22" s="31" t="n">
        <f aca="false">LEN(E22)</f>
        <v>28</v>
      </c>
    </row>
    <row r="23" customFormat="false" ht="15" hidden="false" customHeight="false" outlineLevel="0" collapsed="false">
      <c r="A23" s="30" t="s">
        <v>86</v>
      </c>
      <c r="B23" s="30" t="s">
        <v>199</v>
      </c>
      <c r="C23" s="30" t="s">
        <v>200</v>
      </c>
      <c r="D23" s="30" t="s">
        <v>157</v>
      </c>
      <c r="E23" s="30" t="s">
        <v>283</v>
      </c>
      <c r="F23" s="31" t="n">
        <f aca="false">LEN(E23)</f>
        <v>27</v>
      </c>
    </row>
    <row r="24" customFormat="false" ht="15" hidden="false" customHeight="false" outlineLevel="0" collapsed="false">
      <c r="A24" s="30" t="s">
        <v>284</v>
      </c>
      <c r="B24" s="30" t="s">
        <v>201</v>
      </c>
      <c r="C24" s="30" t="s">
        <v>202</v>
      </c>
      <c r="D24" s="30" t="s">
        <v>157</v>
      </c>
      <c r="E24" s="30" t="s">
        <v>285</v>
      </c>
      <c r="F24" s="31" t="n">
        <f aca="false">LEN(E24)</f>
        <v>28</v>
      </c>
    </row>
    <row r="25" customFormat="false" ht="15" hidden="false" customHeight="false" outlineLevel="0" collapsed="false">
      <c r="A25" s="30" t="s">
        <v>286</v>
      </c>
      <c r="B25" s="30" t="s">
        <v>203</v>
      </c>
      <c r="C25" s="30" t="s">
        <v>204</v>
      </c>
      <c r="D25" s="30" t="s">
        <v>158</v>
      </c>
      <c r="E25" s="30" t="s">
        <v>287</v>
      </c>
      <c r="F25" s="31" t="n">
        <f aca="false">LEN(E25)</f>
        <v>26</v>
      </c>
    </row>
    <row r="26" customFormat="false" ht="15" hidden="false" customHeight="false" outlineLevel="0" collapsed="false">
      <c r="A26" s="30" t="s">
        <v>288</v>
      </c>
      <c r="B26" s="30" t="s">
        <v>205</v>
      </c>
      <c r="C26" s="30" t="s">
        <v>206</v>
      </c>
      <c r="D26" s="30" t="s">
        <v>158</v>
      </c>
      <c r="E26" s="30" t="s">
        <v>289</v>
      </c>
      <c r="F26" s="31" t="n">
        <f aca="false">LEN(E26)</f>
        <v>24</v>
      </c>
    </row>
    <row r="27" customFormat="false" ht="15" hidden="false" customHeight="false" outlineLevel="0" collapsed="false">
      <c r="A27" s="30" t="s">
        <v>84</v>
      </c>
      <c r="B27" s="30" t="s">
        <v>207</v>
      </c>
      <c r="C27" s="30" t="s">
        <v>208</v>
      </c>
      <c r="D27" s="30" t="s">
        <v>158</v>
      </c>
      <c r="E27" s="30" t="s">
        <v>290</v>
      </c>
      <c r="F27" s="31" t="n">
        <f aca="false">LEN(E27)</f>
        <v>27</v>
      </c>
    </row>
    <row r="28" customFormat="false" ht="15" hidden="false" customHeight="false" outlineLevel="0" collapsed="false">
      <c r="A28" s="30" t="s">
        <v>291</v>
      </c>
      <c r="B28" s="30" t="s">
        <v>209</v>
      </c>
      <c r="C28" s="30" t="s">
        <v>210</v>
      </c>
      <c r="D28" s="30" t="s">
        <v>158</v>
      </c>
      <c r="E28" s="30" t="s">
        <v>292</v>
      </c>
      <c r="F28" s="31" t="n">
        <f aca="false">LEN(E28)</f>
        <v>28</v>
      </c>
    </row>
    <row r="29" customFormat="false" ht="15" hidden="false" customHeight="false" outlineLevel="0" collapsed="false">
      <c r="A29" s="30" t="s">
        <v>293</v>
      </c>
      <c r="B29" s="30" t="s">
        <v>211</v>
      </c>
      <c r="C29" s="30" t="s">
        <v>212</v>
      </c>
      <c r="D29" s="30" t="s">
        <v>158</v>
      </c>
      <c r="E29" s="30" t="s">
        <v>294</v>
      </c>
      <c r="F29" s="31" t="n">
        <f aca="false">LEN(E29)</f>
        <v>29</v>
      </c>
    </row>
    <row r="30" customFormat="false" ht="15" hidden="false" customHeight="false" outlineLevel="0" collapsed="false">
      <c r="A30" s="30" t="s">
        <v>83</v>
      </c>
      <c r="B30" s="30" t="s">
        <v>213</v>
      </c>
      <c r="C30" s="30" t="s">
        <v>214</v>
      </c>
      <c r="D30" s="30" t="s">
        <v>158</v>
      </c>
      <c r="E30" s="30" t="s">
        <v>295</v>
      </c>
      <c r="F30" s="31" t="n">
        <f aca="false">LEN(E30)</f>
        <v>24</v>
      </c>
    </row>
    <row r="31" customFormat="false" ht="15" hidden="false" customHeight="false" outlineLevel="0" collapsed="false">
      <c r="A31" s="30" t="s">
        <v>296</v>
      </c>
      <c r="B31" s="30" t="s">
        <v>215</v>
      </c>
      <c r="C31" s="30" t="s">
        <v>216</v>
      </c>
      <c r="D31" s="30" t="s">
        <v>158</v>
      </c>
      <c r="E31" s="30" t="s">
        <v>297</v>
      </c>
      <c r="F31" s="31" t="n">
        <f aca="false">LEN(E31)</f>
        <v>24</v>
      </c>
    </row>
    <row r="32" customFormat="false" ht="15" hidden="false" customHeight="false" outlineLevel="0" collapsed="false">
      <c r="A32" s="30" t="s">
        <v>298</v>
      </c>
      <c r="B32" s="30" t="s">
        <v>217</v>
      </c>
      <c r="C32" s="30" t="s">
        <v>218</v>
      </c>
      <c r="D32" s="30" t="s">
        <v>158</v>
      </c>
      <c r="E32" s="30" t="s">
        <v>299</v>
      </c>
      <c r="F32" s="31" t="n">
        <f aca="false">LEN(E32)</f>
        <v>24</v>
      </c>
    </row>
    <row r="33" customFormat="false" ht="15" hidden="false" customHeight="false" outlineLevel="0" collapsed="false">
      <c r="A33" s="30" t="s">
        <v>300</v>
      </c>
      <c r="B33" s="30" t="s">
        <v>219</v>
      </c>
      <c r="C33" s="30" t="s">
        <v>220</v>
      </c>
      <c r="D33" s="30" t="s">
        <v>158</v>
      </c>
      <c r="E33" s="30" t="s">
        <v>301</v>
      </c>
      <c r="F33" s="31" t="n">
        <f aca="false">LEN(E33)</f>
        <v>30</v>
      </c>
    </row>
    <row r="34" customFormat="false" ht="15" hidden="false" customHeight="false" outlineLevel="0" collapsed="false">
      <c r="A34" s="30" t="s">
        <v>89</v>
      </c>
      <c r="B34" s="30" t="s">
        <v>221</v>
      </c>
      <c r="C34" s="30" t="s">
        <v>222</v>
      </c>
      <c r="D34" s="30" t="s">
        <v>158</v>
      </c>
      <c r="E34" s="30" t="s">
        <v>302</v>
      </c>
      <c r="F34" s="31" t="n">
        <f aca="false">LEN(E34)</f>
        <v>28</v>
      </c>
    </row>
    <row r="35" customFormat="false" ht="15" hidden="false" customHeight="false" outlineLevel="0" collapsed="false">
      <c r="A35" s="30" t="s">
        <v>82</v>
      </c>
      <c r="B35" s="30" t="s">
        <v>223</v>
      </c>
      <c r="C35" s="30" t="s">
        <v>224</v>
      </c>
      <c r="D35" s="30" t="s">
        <v>159</v>
      </c>
      <c r="E35" s="30" t="s">
        <v>303</v>
      </c>
      <c r="F35" s="31" t="n">
        <f aca="false">LEN(E35)</f>
        <v>28</v>
      </c>
    </row>
    <row r="36" customFormat="false" ht="15" hidden="false" customHeight="false" outlineLevel="0" collapsed="false">
      <c r="A36" s="30" t="s">
        <v>304</v>
      </c>
      <c r="B36" s="30" t="s">
        <v>225</v>
      </c>
      <c r="C36" s="30" t="s">
        <v>226</v>
      </c>
      <c r="D36" s="30" t="s">
        <v>159</v>
      </c>
      <c r="E36" s="30" t="s">
        <v>305</v>
      </c>
      <c r="F36" s="31" t="n">
        <f aca="false">LEN(E36)</f>
        <v>29</v>
      </c>
    </row>
    <row r="37" customFormat="false" ht="15" hidden="false" customHeight="false" outlineLevel="0" collapsed="false">
      <c r="A37" s="30" t="s">
        <v>306</v>
      </c>
      <c r="B37" s="30" t="s">
        <v>227</v>
      </c>
      <c r="C37" s="30" t="s">
        <v>228</v>
      </c>
      <c r="D37" s="30" t="s">
        <v>159</v>
      </c>
      <c r="E37" s="30" t="s">
        <v>307</v>
      </c>
      <c r="F37" s="31" t="n">
        <f aca="false">LEN(E37)</f>
        <v>30</v>
      </c>
    </row>
    <row r="38" customFormat="false" ht="15" hidden="false" customHeight="false" outlineLevel="0" collapsed="false">
      <c r="A38" s="30" t="s">
        <v>308</v>
      </c>
      <c r="B38" s="30" t="s">
        <v>229</v>
      </c>
      <c r="C38" s="30" t="s">
        <v>230</v>
      </c>
      <c r="D38" s="30" t="s">
        <v>159</v>
      </c>
      <c r="E38" s="30" t="s">
        <v>309</v>
      </c>
      <c r="F38" s="31" t="n">
        <f aca="false">LEN(E38)</f>
        <v>25</v>
      </c>
    </row>
    <row r="39" customFormat="false" ht="15" hidden="false" customHeight="false" outlineLevel="0" collapsed="false">
      <c r="A39" s="30" t="s">
        <v>310</v>
      </c>
      <c r="B39" s="30" t="s">
        <v>311</v>
      </c>
      <c r="C39" s="30" t="s">
        <v>275</v>
      </c>
      <c r="D39" s="30" t="s">
        <v>159</v>
      </c>
      <c r="E39" s="30" t="s">
        <v>312</v>
      </c>
      <c r="F39" s="31" t="n">
        <f aca="false">LEN(E39)</f>
        <v>24</v>
      </c>
    </row>
    <row r="40" customFormat="false" ht="15" hidden="false" customHeight="false" outlineLevel="0" collapsed="false">
      <c r="A40" s="30" t="s">
        <v>80</v>
      </c>
      <c r="B40" s="30" t="s">
        <v>231</v>
      </c>
      <c r="C40" s="30" t="s">
        <v>232</v>
      </c>
      <c r="D40" s="30" t="s">
        <v>159</v>
      </c>
      <c r="E40" s="30" t="s">
        <v>313</v>
      </c>
      <c r="F40" s="31" t="n">
        <f aca="false">LEN(E40)</f>
        <v>26</v>
      </c>
    </row>
    <row r="41" customFormat="false" ht="15" hidden="false" customHeight="false" outlineLevel="0" collapsed="false">
      <c r="A41" s="30" t="s">
        <v>87</v>
      </c>
      <c r="B41" s="30" t="s">
        <v>233</v>
      </c>
      <c r="C41" s="30" t="s">
        <v>234</v>
      </c>
      <c r="D41" s="30" t="s">
        <v>159</v>
      </c>
      <c r="E41" s="30" t="s">
        <v>314</v>
      </c>
      <c r="F41" s="31" t="n">
        <f aca="false">LEN(E41)</f>
        <v>28</v>
      </c>
    </row>
    <row r="42" customFormat="false" ht="15" hidden="false" customHeight="false" outlineLevel="0" collapsed="false">
      <c r="A42" s="30" t="s">
        <v>85</v>
      </c>
      <c r="B42" s="30" t="s">
        <v>235</v>
      </c>
      <c r="C42" s="30" t="s">
        <v>236</v>
      </c>
      <c r="D42" s="30" t="s">
        <v>159</v>
      </c>
      <c r="E42" s="30" t="s">
        <v>315</v>
      </c>
      <c r="F42" s="31" t="n">
        <f aca="false">LEN(E42)</f>
        <v>29</v>
      </c>
    </row>
    <row r="43" customFormat="false" ht="15" hidden="false" customHeight="false" outlineLevel="0" collapsed="false">
      <c r="A43" s="30" t="s">
        <v>316</v>
      </c>
      <c r="B43" s="30" t="s">
        <v>237</v>
      </c>
      <c r="C43" s="30" t="s">
        <v>238</v>
      </c>
      <c r="D43" s="30" t="s">
        <v>159</v>
      </c>
      <c r="E43" s="30" t="s">
        <v>317</v>
      </c>
      <c r="F43" s="31" t="n">
        <f aca="false">LEN(E43)</f>
        <v>25</v>
      </c>
    </row>
    <row r="44" customFormat="false" ht="15" hidden="false" customHeight="false" outlineLevel="0" collapsed="false">
      <c r="A44" s="30" t="s">
        <v>81</v>
      </c>
      <c r="B44" s="30" t="s">
        <v>239</v>
      </c>
      <c r="C44" s="30" t="s">
        <v>240</v>
      </c>
      <c r="D44" s="30" t="s">
        <v>159</v>
      </c>
      <c r="E44" s="30" t="s">
        <v>318</v>
      </c>
      <c r="F44" s="31" t="n">
        <f aca="false">LEN(E44)</f>
        <v>27</v>
      </c>
    </row>
    <row r="46" customFormat="false" ht="15" hidden="false" customHeight="false" outlineLevel="0" collapsed="false">
      <c r="A46" s="32" t="s">
        <v>319</v>
      </c>
      <c r="E46" s="33" t="n">
        <f aca="false">MIN(F5:F44)</f>
        <v>24</v>
      </c>
    </row>
    <row r="47" customFormat="false" ht="15" hidden="false" customHeight="false" outlineLevel="0" collapsed="false">
      <c r="A47" s="29" t="s">
        <v>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6" min="4" style="0" width="16"/>
    <col collapsed="false" customWidth="true" hidden="false" outlineLevel="0" max="7" min="7" style="0" width="26"/>
    <col collapsed="false" customWidth="true" hidden="false" outlineLevel="0" max="8" min="8" style="0" width="13"/>
    <col collapsed="false" customWidth="true" hidden="false" outlineLevel="0" max="9" min="9" style="0" width="30"/>
    <col collapsed="false" customWidth="true" hidden="false" outlineLevel="0" max="10" min="10" style="0" width="14"/>
  </cols>
  <sheetData>
    <row r="1" customFormat="false" ht="19.7" hidden="false" customHeight="false" outlineLevel="0" collapsed="false">
      <c r="A1" s="1" t="s">
        <v>321</v>
      </c>
    </row>
    <row r="2" customFormat="false" ht="15" hidden="false" customHeight="false" outlineLevel="0" collapsed="false">
      <c r="A2" s="2" t="s">
        <v>322</v>
      </c>
    </row>
    <row r="4" customFormat="false" ht="23.85" hidden="false" customHeight="false" outlineLevel="0" collapsed="false">
      <c r="A4" s="3" t="s">
        <v>153</v>
      </c>
      <c r="B4" s="3" t="s">
        <v>243</v>
      </c>
      <c r="C4" s="3" t="s">
        <v>323</v>
      </c>
      <c r="D4" s="3" t="s">
        <v>324</v>
      </c>
      <c r="E4" s="3" t="s">
        <v>325</v>
      </c>
      <c r="F4" s="3" t="s">
        <v>326</v>
      </c>
      <c r="G4" s="3" t="s">
        <v>327</v>
      </c>
      <c r="H4" s="3" t="s">
        <v>328</v>
      </c>
      <c r="I4" s="3" t="s">
        <v>92</v>
      </c>
      <c r="J4" s="3" t="s">
        <v>329</v>
      </c>
    </row>
    <row r="5" customFormat="false" ht="18" hidden="false" customHeight="true" outlineLevel="0" collapsed="false">
      <c r="A5" s="7" t="s">
        <v>156</v>
      </c>
      <c r="B5" s="7" t="s">
        <v>246</v>
      </c>
      <c r="C5" s="7" t="s">
        <v>165</v>
      </c>
      <c r="D5" s="7" t="s">
        <v>330</v>
      </c>
      <c r="E5" s="7"/>
      <c r="F5" s="7"/>
      <c r="G5" s="7" t="s">
        <v>331</v>
      </c>
      <c r="H5" s="7" t="str">
        <f aca="false">IF(ISNUMBER(MATCH(LOWER(TRIM(C5)),'Sample Mapping'!$A$5:$A$42,0)),"Yes","No")</f>
        <v>Yes</v>
      </c>
      <c r="I5" s="34" t="s">
        <v>100</v>
      </c>
      <c r="J5" s="26" t="n">
        <f aca="false">IF(E5="",0,LEN(E5)-LEN(SUBSTITUTE(E5,CHAR(10),""))+1)</f>
        <v>0</v>
      </c>
    </row>
    <row r="6" customFormat="false" ht="33" hidden="false" customHeight="true" outlineLevel="0" collapsed="false">
      <c r="A6" s="7" t="s">
        <v>156</v>
      </c>
      <c r="B6" s="7" t="s">
        <v>88</v>
      </c>
      <c r="C6" s="7" t="s">
        <v>332</v>
      </c>
      <c r="D6" s="7" t="s">
        <v>330</v>
      </c>
      <c r="E6" s="7" t="s">
        <v>333</v>
      </c>
      <c r="F6" s="7" t="s">
        <v>334</v>
      </c>
      <c r="G6" s="7" t="s">
        <v>335</v>
      </c>
      <c r="H6" s="7" t="str">
        <f aca="false">IF(ISNUMBER(MATCH(LOWER(TRIM(C6)),'Sample Mapping'!$A$5:$A$42,0)),"Yes","No")</f>
        <v>Yes</v>
      </c>
      <c r="I6" s="35" t="s">
        <v>96</v>
      </c>
      <c r="J6" s="26" t="n">
        <f aca="false">IF(E6="",0,LEN(E6)-LEN(SUBSTITUTE(E6,CHAR(10),""))+1)</f>
        <v>2</v>
      </c>
    </row>
    <row r="7" customFormat="false" ht="18" hidden="false" customHeight="true" outlineLevel="0" collapsed="false">
      <c r="A7" s="7" t="s">
        <v>156</v>
      </c>
      <c r="B7" s="7" t="s">
        <v>249</v>
      </c>
      <c r="C7" s="7" t="s">
        <v>169</v>
      </c>
      <c r="D7" s="7" t="s">
        <v>330</v>
      </c>
      <c r="E7" s="7" t="s">
        <v>70</v>
      </c>
      <c r="F7" s="7"/>
      <c r="G7" s="7" t="s">
        <v>336</v>
      </c>
      <c r="H7" s="7" t="str">
        <f aca="false">IF(ISNUMBER(MATCH(LOWER(TRIM(C7)),'Sample Mapping'!$A$5:$A$42,0)),"Yes","No")</f>
        <v>Yes</v>
      </c>
      <c r="I7" s="34" t="s">
        <v>98</v>
      </c>
      <c r="J7" s="26" t="n">
        <f aca="false">IF(E7="",0,LEN(E7)-LEN(SUBSTITUTE(E7,CHAR(10),""))+1)</f>
        <v>1</v>
      </c>
    </row>
    <row r="8" customFormat="false" ht="18" hidden="false" customHeight="true" outlineLevel="0" collapsed="false">
      <c r="A8" s="7" t="s">
        <v>156</v>
      </c>
      <c r="B8" s="7" t="s">
        <v>251</v>
      </c>
      <c r="C8" s="7" t="s">
        <v>171</v>
      </c>
      <c r="D8" s="7" t="s">
        <v>330</v>
      </c>
      <c r="E8" s="7" t="s">
        <v>337</v>
      </c>
      <c r="F8" s="7" t="s">
        <v>70</v>
      </c>
      <c r="G8" s="7"/>
      <c r="H8" s="7" t="str">
        <f aca="false">IF(ISNUMBER(MATCH(LOWER(TRIM(C8)),'Sample Mapping'!$A$5:$A$42,0)),"Yes","No")</f>
        <v>Yes</v>
      </c>
      <c r="I8" s="35" t="s">
        <v>96</v>
      </c>
      <c r="J8" s="26" t="n">
        <f aca="false">IF(E8="",0,LEN(E8)-LEN(SUBSTITUTE(E8,CHAR(10),""))+1)</f>
        <v>1</v>
      </c>
    </row>
    <row r="9" customFormat="false" ht="18" hidden="false" customHeight="true" outlineLevel="0" collapsed="false">
      <c r="A9" s="7" t="s">
        <v>156</v>
      </c>
      <c r="B9" s="7" t="s">
        <v>253</v>
      </c>
      <c r="C9" s="7" t="s">
        <v>173</v>
      </c>
      <c r="D9" s="7" t="s">
        <v>330</v>
      </c>
      <c r="E9" s="7"/>
      <c r="F9" s="7"/>
      <c r="G9" s="7" t="s">
        <v>338</v>
      </c>
      <c r="H9" s="7" t="str">
        <f aca="false">IF(ISNUMBER(MATCH(LOWER(TRIM(C9)),'Sample Mapping'!$A$5:$A$42,0)),"Yes","No")</f>
        <v>Yes</v>
      </c>
      <c r="I9" s="34" t="s">
        <v>100</v>
      </c>
      <c r="J9" s="26" t="n">
        <f aca="false">IF(E9="",0,LEN(E9)-LEN(SUBSTITUTE(E9,CHAR(10),""))+1)</f>
        <v>0</v>
      </c>
    </row>
    <row r="10" customFormat="false" ht="33" hidden="false" customHeight="true" outlineLevel="0" collapsed="false">
      <c r="A10" s="7" t="s">
        <v>156</v>
      </c>
      <c r="B10" s="7" t="s">
        <v>261</v>
      </c>
      <c r="C10" s="7" t="s">
        <v>181</v>
      </c>
      <c r="D10" s="7" t="s">
        <v>330</v>
      </c>
      <c r="E10" s="7" t="s">
        <v>339</v>
      </c>
      <c r="F10" s="7" t="s">
        <v>340</v>
      </c>
      <c r="G10" s="7" t="s">
        <v>341</v>
      </c>
      <c r="H10" s="7" t="str">
        <f aca="false">IF(ISNUMBER(MATCH(LOWER(TRIM(C10)),'Sample Mapping'!$A$5:$A$42,0)),"Yes","No")</f>
        <v>Yes</v>
      </c>
      <c r="I10" s="35" t="s">
        <v>96</v>
      </c>
      <c r="J10" s="26" t="n">
        <f aca="false">IF(E10="",0,LEN(E10)-LEN(SUBSTITUTE(E10,CHAR(10),""))+1)</f>
        <v>2</v>
      </c>
    </row>
    <row r="11" customFormat="false" ht="18" hidden="false" customHeight="true" outlineLevel="0" collapsed="false">
      <c r="A11" s="7" t="s">
        <v>157</v>
      </c>
      <c r="B11" s="7" t="s">
        <v>273</v>
      </c>
      <c r="C11" s="7" t="s">
        <v>342</v>
      </c>
      <c r="D11" s="7" t="s">
        <v>343</v>
      </c>
      <c r="E11" s="7" t="s">
        <v>344</v>
      </c>
      <c r="F11" s="7" t="s">
        <v>345</v>
      </c>
      <c r="G11" s="7"/>
      <c r="H11" s="7" t="str">
        <f aca="false">IF(ISNUMBER(MATCH(LOWER(TRIM(C11)),'Sample Mapping'!$A$5:$A$42,0)),"Yes","No")</f>
        <v>No</v>
      </c>
      <c r="I11" s="34" t="s">
        <v>106</v>
      </c>
      <c r="J11" s="26" t="n">
        <f aca="false">IF(E11="",0,LEN(E11)-LEN(SUBSTITUTE(E11,CHAR(10),""))+1)</f>
        <v>1</v>
      </c>
    </row>
    <row r="12" customFormat="false" ht="18" hidden="false" customHeight="true" outlineLevel="0" collapsed="false">
      <c r="A12" s="7" t="s">
        <v>157</v>
      </c>
      <c r="B12" s="7" t="s">
        <v>277</v>
      </c>
      <c r="C12" s="7" t="s">
        <v>193</v>
      </c>
      <c r="D12" s="7" t="s">
        <v>343</v>
      </c>
      <c r="E12" s="7" t="s">
        <v>346</v>
      </c>
      <c r="F12" s="7" t="s">
        <v>347</v>
      </c>
      <c r="G12" s="7" t="s">
        <v>348</v>
      </c>
      <c r="H12" s="7" t="str">
        <f aca="false">IF(ISNUMBER(MATCH(LOWER(TRIM(C12)),'Sample Mapping'!$A$5:$A$42,0)),"Yes","No")</f>
        <v>Yes</v>
      </c>
      <c r="I12" s="34" t="s">
        <v>104</v>
      </c>
      <c r="J12" s="26" t="n">
        <f aca="false">IF(E12="",0,LEN(E12)-LEN(SUBSTITUTE(E12,CHAR(10),""))+1)</f>
        <v>1</v>
      </c>
    </row>
    <row r="13" customFormat="false" ht="33" hidden="false" customHeight="true" outlineLevel="0" collapsed="false">
      <c r="A13" s="7" t="s">
        <v>157</v>
      </c>
      <c r="B13" s="7" t="s">
        <v>86</v>
      </c>
      <c r="C13" s="7" t="s">
        <v>199</v>
      </c>
      <c r="D13" s="7" t="s">
        <v>343</v>
      </c>
      <c r="E13" s="7" t="s">
        <v>349</v>
      </c>
      <c r="F13" s="7" t="s">
        <v>350</v>
      </c>
      <c r="G13" s="7" t="s">
        <v>351</v>
      </c>
      <c r="H13" s="7" t="str">
        <f aca="false">IF(ISNUMBER(MATCH(LOWER(TRIM(C13)),'Sample Mapping'!$A$5:$A$42,0)),"Yes","No")</f>
        <v>Yes</v>
      </c>
      <c r="I13" s="35" t="s">
        <v>96</v>
      </c>
      <c r="J13" s="26" t="n">
        <f aca="false">IF(E13="",0,LEN(E13)-LEN(SUBSTITUTE(E13,CHAR(10),""))+1)</f>
        <v>2</v>
      </c>
    </row>
    <row r="14" customFormat="false" ht="18" hidden="false" customHeight="true" outlineLevel="0" collapsed="false">
      <c r="A14" s="7" t="s">
        <v>157</v>
      </c>
      <c r="B14" s="7" t="s">
        <v>265</v>
      </c>
      <c r="C14" s="7" t="s">
        <v>185</v>
      </c>
      <c r="D14" s="7" t="s">
        <v>352</v>
      </c>
      <c r="E14" s="7" t="s">
        <v>353</v>
      </c>
      <c r="F14" s="7" t="s">
        <v>354</v>
      </c>
      <c r="G14" s="7"/>
      <c r="H14" s="7" t="str">
        <f aca="false">IF(ISNUMBER(MATCH(LOWER(TRIM(C14)),'Sample Mapping'!$A$5:$A$42,0)),"Yes","No")</f>
        <v>Yes</v>
      </c>
      <c r="I14" s="35" t="s">
        <v>96</v>
      </c>
      <c r="J14" s="26" t="n">
        <f aca="false">IF(E14="",0,LEN(E14)-LEN(SUBSTITUTE(E14,CHAR(10),""))+1)</f>
        <v>1</v>
      </c>
    </row>
    <row r="15" customFormat="false" ht="18" hidden="false" customHeight="true" outlineLevel="0" collapsed="false">
      <c r="A15" s="7" t="s">
        <v>157</v>
      </c>
      <c r="B15" s="7" t="s">
        <v>271</v>
      </c>
      <c r="C15" s="7" t="s">
        <v>191</v>
      </c>
      <c r="D15" s="7" t="s">
        <v>352</v>
      </c>
      <c r="E15" s="7" t="s">
        <v>355</v>
      </c>
      <c r="F15" s="7" t="s">
        <v>356</v>
      </c>
      <c r="G15" s="7" t="s">
        <v>357</v>
      </c>
      <c r="H15" s="7" t="str">
        <f aca="false">IF(ISNUMBER(MATCH(LOWER(TRIM(C15)),'Sample Mapping'!$A$5:$A$42,0)),"Yes","No")</f>
        <v>Yes</v>
      </c>
      <c r="I15" s="35" t="s">
        <v>96</v>
      </c>
      <c r="J15" s="26" t="n">
        <f aca="false">IF(E15="",0,LEN(E15)-LEN(SUBSTITUTE(E15,CHAR(10),""))+1)</f>
        <v>1</v>
      </c>
    </row>
    <row r="16" customFormat="false" ht="18" hidden="false" customHeight="true" outlineLevel="0" collapsed="false">
      <c r="A16" s="7" t="s">
        <v>157</v>
      </c>
      <c r="B16" s="7" t="s">
        <v>273</v>
      </c>
      <c r="C16" s="7" t="s">
        <v>274</v>
      </c>
      <c r="D16" s="7" t="s">
        <v>352</v>
      </c>
      <c r="E16" s="7" t="s">
        <v>358</v>
      </c>
      <c r="F16" s="7" t="s">
        <v>359</v>
      </c>
      <c r="G16" s="7"/>
      <c r="H16" s="7" t="str">
        <f aca="false">IF(ISNUMBER(MATCH(LOWER(TRIM(C16)),'Sample Mapping'!$A$5:$A$42,0)),"Yes","No")</f>
        <v>No</v>
      </c>
      <c r="I16" s="34" t="s">
        <v>106</v>
      </c>
      <c r="J16" s="26" t="n">
        <f aca="false">IF(E16="",0,LEN(E16)-LEN(SUBSTITUTE(E16,CHAR(10),""))+1)</f>
        <v>1</v>
      </c>
    </row>
    <row r="17" customFormat="false" ht="18" hidden="false" customHeight="true" outlineLevel="0" collapsed="false">
      <c r="A17" s="7" t="s">
        <v>157</v>
      </c>
      <c r="B17" s="7" t="s">
        <v>86</v>
      </c>
      <c r="C17" s="7" t="s">
        <v>199</v>
      </c>
      <c r="D17" s="7" t="s">
        <v>352</v>
      </c>
      <c r="E17" s="7" t="s">
        <v>360</v>
      </c>
      <c r="F17" s="7" t="s">
        <v>361</v>
      </c>
      <c r="G17" s="7" t="s">
        <v>335</v>
      </c>
      <c r="H17" s="7" t="str">
        <f aca="false">IF(ISNUMBER(MATCH(LOWER(TRIM(C17)),'Sample Mapping'!$A$5:$A$42,0)),"Yes","No")</f>
        <v>Yes</v>
      </c>
      <c r="I17" s="35" t="s">
        <v>96</v>
      </c>
      <c r="J17" s="26" t="n">
        <f aca="false">IF(E17="",0,LEN(E17)-LEN(SUBSTITUTE(E17,CHAR(10),""))+1)</f>
        <v>1</v>
      </c>
    </row>
    <row r="18" customFormat="false" ht="18" hidden="false" customHeight="true" outlineLevel="0" collapsed="false">
      <c r="A18" s="7" t="s">
        <v>158</v>
      </c>
      <c r="B18" s="7" t="s">
        <v>296</v>
      </c>
      <c r="C18" s="7" t="s">
        <v>215</v>
      </c>
      <c r="D18" s="7" t="s">
        <v>362</v>
      </c>
      <c r="E18" s="7" t="s">
        <v>346</v>
      </c>
      <c r="F18" s="7" t="s">
        <v>363</v>
      </c>
      <c r="G18" s="7"/>
      <c r="H18" s="7" t="str">
        <f aca="false">IF(ISNUMBER(MATCH(LOWER(TRIM(C18)),'Sample Mapping'!$A$5:$A$42,0)),"Yes","No")</f>
        <v>Yes</v>
      </c>
      <c r="I18" s="35" t="s">
        <v>96</v>
      </c>
      <c r="J18" s="26" t="n">
        <f aca="false">IF(E18="",0,LEN(E18)-LEN(SUBSTITUTE(E18,CHAR(10),""))+1)</f>
        <v>1</v>
      </c>
    </row>
    <row r="19" customFormat="false" ht="33" hidden="false" customHeight="true" outlineLevel="0" collapsed="false">
      <c r="A19" s="7" t="s">
        <v>158</v>
      </c>
      <c r="B19" s="7" t="s">
        <v>89</v>
      </c>
      <c r="C19" s="7" t="s">
        <v>221</v>
      </c>
      <c r="D19" s="7" t="s">
        <v>362</v>
      </c>
      <c r="E19" s="7" t="s">
        <v>364</v>
      </c>
      <c r="F19" s="7" t="s">
        <v>365</v>
      </c>
      <c r="G19" s="7" t="s">
        <v>335</v>
      </c>
      <c r="H19" s="7" t="str">
        <f aca="false">IF(ISNUMBER(MATCH(LOWER(TRIM(C19)),'Sample Mapping'!$A$5:$A$42,0)),"Yes","No")</f>
        <v>Yes</v>
      </c>
      <c r="I19" s="35" t="s">
        <v>96</v>
      </c>
      <c r="J19" s="26" t="n">
        <f aca="false">IF(E19="",0,LEN(E19)-LEN(SUBSTITUTE(E19,CHAR(10),""))+1)</f>
        <v>2</v>
      </c>
    </row>
    <row r="20" customFormat="false" ht="18" hidden="false" customHeight="true" outlineLevel="0" collapsed="false">
      <c r="A20" s="7" t="s">
        <v>158</v>
      </c>
      <c r="B20" s="7" t="s">
        <v>366</v>
      </c>
      <c r="C20" s="7" t="s">
        <v>367</v>
      </c>
      <c r="D20" s="7" t="s">
        <v>362</v>
      </c>
      <c r="E20" s="7" t="s">
        <v>70</v>
      </c>
      <c r="F20" s="7" t="s">
        <v>368</v>
      </c>
      <c r="G20" s="7"/>
      <c r="H20" s="7" t="str">
        <f aca="false">IF(ISNUMBER(MATCH(LOWER(TRIM(C20)),'Sample Mapping'!$A$5:$A$42,0)),"Yes","No")</f>
        <v>No</v>
      </c>
      <c r="I20" s="34" t="s">
        <v>102</v>
      </c>
      <c r="J20" s="26" t="n">
        <f aca="false">IF(E20="",0,LEN(E20)-LEN(SUBSTITUTE(E20,CHAR(10),""))+1)</f>
        <v>1</v>
      </c>
    </row>
    <row r="21" customFormat="false" ht="18" hidden="false" customHeight="true" outlineLevel="0" collapsed="false">
      <c r="A21" s="7" t="s">
        <v>158</v>
      </c>
      <c r="B21" s="7" t="s">
        <v>286</v>
      </c>
      <c r="C21" s="7" t="s">
        <v>203</v>
      </c>
      <c r="D21" s="7" t="s">
        <v>362</v>
      </c>
      <c r="E21" s="7" t="s">
        <v>369</v>
      </c>
      <c r="F21" s="7" t="s">
        <v>370</v>
      </c>
      <c r="G21" s="7" t="s">
        <v>335</v>
      </c>
      <c r="H21" s="7" t="str">
        <f aca="false">IF(ISNUMBER(MATCH(LOWER(TRIM(C21)),'Sample Mapping'!$A$5:$A$42,0)),"Yes","No")</f>
        <v>Yes</v>
      </c>
      <c r="I21" s="35" t="s">
        <v>96</v>
      </c>
      <c r="J21" s="26" t="n">
        <f aca="false">IF(E21="",0,LEN(E21)-LEN(SUBSTITUTE(E21,CHAR(10),""))+1)</f>
        <v>1</v>
      </c>
    </row>
    <row r="22" customFormat="false" ht="33" hidden="false" customHeight="true" outlineLevel="0" collapsed="false">
      <c r="A22" s="7" t="s">
        <v>158</v>
      </c>
      <c r="B22" s="7" t="s">
        <v>291</v>
      </c>
      <c r="C22" s="7" t="s">
        <v>209</v>
      </c>
      <c r="D22" s="7" t="s">
        <v>362</v>
      </c>
      <c r="E22" s="7" t="s">
        <v>371</v>
      </c>
      <c r="F22" s="7" t="s">
        <v>372</v>
      </c>
      <c r="G22" s="7"/>
      <c r="H22" s="7" t="str">
        <f aca="false">IF(ISNUMBER(MATCH(LOWER(TRIM(C22)),'Sample Mapping'!$A$5:$A$42,0)),"Yes","No")</f>
        <v>Yes</v>
      </c>
      <c r="I22" s="35" t="s">
        <v>96</v>
      </c>
      <c r="J22" s="26" t="n">
        <f aca="false">IF(E22="",0,LEN(E22)-LEN(SUBSTITUTE(E22,CHAR(10),""))+1)</f>
        <v>2</v>
      </c>
    </row>
    <row r="23" customFormat="false" ht="18" hidden="false" customHeight="true" outlineLevel="0" collapsed="false">
      <c r="A23" s="7" t="s">
        <v>158</v>
      </c>
      <c r="B23" s="7" t="s">
        <v>366</v>
      </c>
      <c r="C23" s="7" t="s">
        <v>367</v>
      </c>
      <c r="D23" s="7" t="s">
        <v>373</v>
      </c>
      <c r="E23" s="7" t="s">
        <v>70</v>
      </c>
      <c r="F23" s="7" t="s">
        <v>368</v>
      </c>
      <c r="G23" s="7"/>
      <c r="H23" s="7" t="str">
        <f aca="false">IF(ISNUMBER(MATCH(LOWER(TRIM(C23)),'Sample Mapping'!$A$5:$A$42,0)),"Yes","No")</f>
        <v>No</v>
      </c>
      <c r="I23" s="34" t="s">
        <v>102</v>
      </c>
      <c r="J23" s="26" t="n">
        <f aca="false">IF(E23="",0,LEN(E23)-LEN(SUBSTITUTE(E23,CHAR(10),""))+1)</f>
        <v>1</v>
      </c>
    </row>
    <row r="24" customFormat="false" ht="18" hidden="false" customHeight="true" outlineLevel="0" collapsed="false">
      <c r="A24" s="7" t="s">
        <v>158</v>
      </c>
      <c r="B24" s="7" t="s">
        <v>288</v>
      </c>
      <c r="C24" s="7" t="s">
        <v>205</v>
      </c>
      <c r="D24" s="7" t="s">
        <v>373</v>
      </c>
      <c r="E24" s="7" t="s">
        <v>361</v>
      </c>
      <c r="F24" s="7" t="s">
        <v>374</v>
      </c>
      <c r="G24" s="7" t="s">
        <v>375</v>
      </c>
      <c r="H24" s="7" t="str">
        <f aca="false">IF(ISNUMBER(MATCH(LOWER(TRIM(C24)),'Sample Mapping'!$A$5:$A$42,0)),"Yes","No")</f>
        <v>Yes</v>
      </c>
      <c r="I24" s="35" t="s">
        <v>96</v>
      </c>
      <c r="J24" s="26" t="n">
        <f aca="false">IF(E24="",0,LEN(E24)-LEN(SUBSTITUTE(E24,CHAR(10),""))+1)</f>
        <v>1</v>
      </c>
    </row>
    <row r="25" customFormat="false" ht="48" hidden="false" customHeight="true" outlineLevel="0" collapsed="false">
      <c r="A25" s="7" t="s">
        <v>158</v>
      </c>
      <c r="B25" s="7" t="s">
        <v>83</v>
      </c>
      <c r="C25" s="7" t="s">
        <v>213</v>
      </c>
      <c r="D25" s="7" t="s">
        <v>376</v>
      </c>
      <c r="E25" s="7" t="s">
        <v>377</v>
      </c>
      <c r="F25" s="7" t="s">
        <v>378</v>
      </c>
      <c r="G25" s="7"/>
      <c r="H25" s="7" t="str">
        <f aca="false">IF(ISNUMBER(MATCH(LOWER(TRIM(C25)),'Sample Mapping'!$A$5:$A$42,0)),"Yes","No")</f>
        <v>Yes</v>
      </c>
      <c r="I25" s="35" t="s">
        <v>96</v>
      </c>
      <c r="J25" s="26" t="n">
        <f aca="false">IF(E25="",0,LEN(E25)-LEN(SUBSTITUTE(E25,CHAR(10),""))+1)</f>
        <v>3</v>
      </c>
    </row>
    <row r="26" customFormat="false" ht="18" hidden="false" customHeight="true" outlineLevel="0" collapsed="false">
      <c r="A26" s="7" t="s">
        <v>158</v>
      </c>
      <c r="B26" s="7" t="s">
        <v>288</v>
      </c>
      <c r="C26" s="7" t="s">
        <v>205</v>
      </c>
      <c r="D26" s="7" t="s">
        <v>376</v>
      </c>
      <c r="E26" s="7" t="s">
        <v>346</v>
      </c>
      <c r="F26" s="7" t="s">
        <v>347</v>
      </c>
      <c r="G26" s="7" t="s">
        <v>348</v>
      </c>
      <c r="H26" s="7" t="str">
        <f aca="false">IF(ISNUMBER(MATCH(LOWER(TRIM(C26)),'Sample Mapping'!$A$5:$A$42,0)),"Yes","No")</f>
        <v>Yes</v>
      </c>
      <c r="I26" s="34" t="s">
        <v>104</v>
      </c>
      <c r="J26" s="26" t="n">
        <f aca="false">IF(E26="",0,LEN(E26)-LEN(SUBSTITUTE(E26,CHAR(10),""))+1)</f>
        <v>1</v>
      </c>
    </row>
    <row r="27" customFormat="false" ht="48" hidden="false" customHeight="true" outlineLevel="0" collapsed="false">
      <c r="A27" s="7" t="s">
        <v>158</v>
      </c>
      <c r="B27" s="7" t="s">
        <v>84</v>
      </c>
      <c r="C27" s="7" t="s">
        <v>379</v>
      </c>
      <c r="D27" s="7" t="s">
        <v>376</v>
      </c>
      <c r="E27" s="7" t="s">
        <v>380</v>
      </c>
      <c r="F27" s="7" t="s">
        <v>381</v>
      </c>
      <c r="G27" s="7" t="s">
        <v>341</v>
      </c>
      <c r="H27" s="7" t="str">
        <f aca="false">IF(ISNUMBER(MATCH(LOWER(TRIM(C27)),'Sample Mapping'!$A$5:$A$42,0)),"Yes","No")</f>
        <v>Yes</v>
      </c>
      <c r="I27" s="35" t="s">
        <v>96</v>
      </c>
      <c r="J27" s="26" t="n">
        <f aca="false">IF(E27="",0,LEN(E27)-LEN(SUBSTITUTE(E27,CHAR(10),""))+1)</f>
        <v>3</v>
      </c>
    </row>
    <row r="28" customFormat="false" ht="18" hidden="false" customHeight="true" outlineLevel="0" collapsed="false">
      <c r="A28" s="7" t="s">
        <v>158</v>
      </c>
      <c r="B28" s="7" t="s">
        <v>293</v>
      </c>
      <c r="C28" s="7" t="s">
        <v>211</v>
      </c>
      <c r="D28" s="7" t="s">
        <v>376</v>
      </c>
      <c r="E28" s="7" t="s">
        <v>382</v>
      </c>
      <c r="F28" s="7" t="s">
        <v>383</v>
      </c>
      <c r="G28" s="7" t="s">
        <v>384</v>
      </c>
      <c r="H28" s="7" t="str">
        <f aca="false">IF(ISNUMBER(MATCH(LOWER(TRIM(C28)),'Sample Mapping'!$A$5:$A$42,0)),"Yes","No")</f>
        <v>Yes</v>
      </c>
      <c r="I28" s="35" t="s">
        <v>96</v>
      </c>
      <c r="J28" s="26" t="n">
        <f aca="false">IF(E28="",0,LEN(E28)-LEN(SUBSTITUTE(E28,CHAR(10),""))+1)</f>
        <v>1</v>
      </c>
    </row>
    <row r="29" customFormat="false" ht="18" hidden="false" customHeight="true" outlineLevel="0" collapsed="false">
      <c r="A29" s="7" t="s">
        <v>158</v>
      </c>
      <c r="B29" s="7" t="s">
        <v>83</v>
      </c>
      <c r="C29" s="7" t="s">
        <v>213</v>
      </c>
      <c r="D29" s="7" t="s">
        <v>385</v>
      </c>
      <c r="E29" s="7" t="s">
        <v>386</v>
      </c>
      <c r="F29" s="7" t="s">
        <v>387</v>
      </c>
      <c r="G29" s="7" t="s">
        <v>341</v>
      </c>
      <c r="H29" s="7" t="str">
        <f aca="false">IF(ISNUMBER(MATCH(LOWER(TRIM(C29)),'Sample Mapping'!$A$5:$A$42,0)),"Yes","No")</f>
        <v>Yes</v>
      </c>
      <c r="I29" s="35" t="s">
        <v>96</v>
      </c>
      <c r="J29" s="26" t="n">
        <f aca="false">IF(E29="",0,LEN(E29)-LEN(SUBSTITUTE(E29,CHAR(10),""))+1)</f>
        <v>1</v>
      </c>
    </row>
    <row r="30" customFormat="false" ht="18" hidden="false" customHeight="true" outlineLevel="0" collapsed="false">
      <c r="A30" s="7" t="s">
        <v>158</v>
      </c>
      <c r="B30" s="7" t="s">
        <v>298</v>
      </c>
      <c r="C30" s="7" t="s">
        <v>217</v>
      </c>
      <c r="D30" s="7" t="s">
        <v>385</v>
      </c>
      <c r="E30" s="7" t="s">
        <v>388</v>
      </c>
      <c r="F30" s="7" t="s">
        <v>389</v>
      </c>
      <c r="G30" s="7"/>
      <c r="H30" s="7" t="str">
        <f aca="false">IF(ISNUMBER(MATCH(LOWER(TRIM(C30)),'Sample Mapping'!$A$5:$A$42,0)),"Yes","No")</f>
        <v>Yes</v>
      </c>
      <c r="I30" s="35" t="s">
        <v>96</v>
      </c>
      <c r="J30" s="26" t="n">
        <f aca="false">IF(E30="",0,LEN(E30)-LEN(SUBSTITUTE(E30,CHAR(10),""))+1)</f>
        <v>1</v>
      </c>
    </row>
    <row r="31" customFormat="false" ht="18" hidden="false" customHeight="true" outlineLevel="0" collapsed="false">
      <c r="A31" s="7" t="s">
        <v>158</v>
      </c>
      <c r="B31" s="7" t="s">
        <v>89</v>
      </c>
      <c r="C31" s="7" t="s">
        <v>221</v>
      </c>
      <c r="D31" s="7" t="s">
        <v>385</v>
      </c>
      <c r="E31" s="7" t="s">
        <v>390</v>
      </c>
      <c r="F31" s="7" t="s">
        <v>391</v>
      </c>
      <c r="G31" s="7"/>
      <c r="H31" s="7" t="str">
        <f aca="false">IF(ISNUMBER(MATCH(LOWER(TRIM(C31)),'Sample Mapping'!$A$5:$A$42,0)),"Yes","No")</f>
        <v>Yes</v>
      </c>
      <c r="I31" s="35" t="s">
        <v>96</v>
      </c>
      <c r="J31" s="26" t="n">
        <f aca="false">IF(E31="",0,LEN(E31)-LEN(SUBSTITUTE(E31,CHAR(10),""))+1)</f>
        <v>1</v>
      </c>
    </row>
    <row r="32" customFormat="false" ht="18" hidden="false" customHeight="true" outlineLevel="0" collapsed="false">
      <c r="A32" s="7" t="s">
        <v>158</v>
      </c>
      <c r="B32" s="7" t="s">
        <v>286</v>
      </c>
      <c r="C32" s="7" t="s">
        <v>203</v>
      </c>
      <c r="D32" s="7" t="s">
        <v>385</v>
      </c>
      <c r="E32" s="7" t="s">
        <v>392</v>
      </c>
      <c r="F32" s="7" t="s">
        <v>393</v>
      </c>
      <c r="G32" s="7"/>
      <c r="H32" s="7" t="str">
        <f aca="false">IF(ISNUMBER(MATCH(LOWER(TRIM(C32)),'Sample Mapping'!$A$5:$A$42,0)),"Yes","No")</f>
        <v>Yes</v>
      </c>
      <c r="I32" s="35" t="s">
        <v>96</v>
      </c>
      <c r="J32" s="26" t="n">
        <f aca="false">IF(E32="",0,LEN(E32)-LEN(SUBSTITUTE(E32,CHAR(10),""))+1)</f>
        <v>1</v>
      </c>
    </row>
    <row r="33" customFormat="false" ht="18" hidden="false" customHeight="true" outlineLevel="0" collapsed="false">
      <c r="A33" s="7" t="s">
        <v>158</v>
      </c>
      <c r="B33" s="7" t="s">
        <v>293</v>
      </c>
      <c r="C33" s="7" t="s">
        <v>211</v>
      </c>
      <c r="D33" s="7" t="s">
        <v>385</v>
      </c>
      <c r="E33" s="7"/>
      <c r="F33" s="7"/>
      <c r="G33" s="7" t="s">
        <v>331</v>
      </c>
      <c r="H33" s="7" t="str">
        <f aca="false">IF(ISNUMBER(MATCH(LOWER(TRIM(C33)),'Sample Mapping'!$A$5:$A$42,0)),"Yes","No")</f>
        <v>Yes</v>
      </c>
      <c r="I33" s="34" t="s">
        <v>100</v>
      </c>
      <c r="J33" s="26" t="n">
        <f aca="false">IF(E33="",0,LEN(E33)-LEN(SUBSTITUTE(E33,CHAR(10),""))+1)</f>
        <v>0</v>
      </c>
    </row>
    <row r="34" customFormat="false" ht="18" hidden="false" customHeight="true" outlineLevel="0" collapsed="false">
      <c r="A34" s="7" t="s">
        <v>159</v>
      </c>
      <c r="B34" s="7" t="s">
        <v>394</v>
      </c>
      <c r="C34" s="7" t="s">
        <v>395</v>
      </c>
      <c r="D34" s="7" t="s">
        <v>396</v>
      </c>
      <c r="E34" s="7" t="s">
        <v>70</v>
      </c>
      <c r="F34" s="7" t="s">
        <v>368</v>
      </c>
      <c r="G34" s="7"/>
      <c r="H34" s="7" t="str">
        <f aca="false">IF(ISNUMBER(MATCH(LOWER(TRIM(C34)),'Sample Mapping'!$A$5:$A$42,0)),"Yes","No")</f>
        <v>No</v>
      </c>
      <c r="I34" s="34" t="s">
        <v>102</v>
      </c>
      <c r="J34" s="26" t="n">
        <f aca="false">IF(E34="",0,LEN(E34)-LEN(SUBSTITUTE(E34,CHAR(10),""))+1)</f>
        <v>1</v>
      </c>
    </row>
    <row r="35" customFormat="false" ht="33" hidden="false" customHeight="true" outlineLevel="0" collapsed="false">
      <c r="A35" s="7" t="s">
        <v>159</v>
      </c>
      <c r="B35" s="7" t="s">
        <v>82</v>
      </c>
      <c r="C35" s="7" t="s">
        <v>223</v>
      </c>
      <c r="D35" s="7" t="s">
        <v>396</v>
      </c>
      <c r="E35" s="7" t="s">
        <v>397</v>
      </c>
      <c r="F35" s="7" t="s">
        <v>398</v>
      </c>
      <c r="G35" s="7" t="s">
        <v>341</v>
      </c>
      <c r="H35" s="7" t="str">
        <f aca="false">IF(ISNUMBER(MATCH(LOWER(TRIM(C35)),'Sample Mapping'!$A$5:$A$42,0)),"Yes","No")</f>
        <v>Yes</v>
      </c>
      <c r="I35" s="35" t="s">
        <v>96</v>
      </c>
      <c r="J35" s="26" t="n">
        <f aca="false">IF(E35="",0,LEN(E35)-LEN(SUBSTITUTE(E35,CHAR(10),""))+1)</f>
        <v>2</v>
      </c>
    </row>
    <row r="36" customFormat="false" ht="18" hidden="false" customHeight="true" outlineLevel="0" collapsed="false">
      <c r="A36" s="7" t="s">
        <v>159</v>
      </c>
      <c r="B36" s="7" t="s">
        <v>304</v>
      </c>
      <c r="C36" s="7" t="s">
        <v>225</v>
      </c>
      <c r="D36" s="7" t="s">
        <v>396</v>
      </c>
      <c r="E36" s="7" t="s">
        <v>399</v>
      </c>
      <c r="F36" s="7" t="s">
        <v>400</v>
      </c>
      <c r="G36" s="7"/>
      <c r="H36" s="7" t="str">
        <f aca="false">IF(ISNUMBER(MATCH(LOWER(TRIM(C36)),'Sample Mapping'!$A$5:$A$42,0)),"Yes","No")</f>
        <v>Yes</v>
      </c>
      <c r="I36" s="35" t="s">
        <v>96</v>
      </c>
      <c r="J36" s="26" t="n">
        <f aca="false">IF(E36="",0,LEN(E36)-LEN(SUBSTITUTE(E36,CHAR(10),""))+1)</f>
        <v>1</v>
      </c>
    </row>
    <row r="37" customFormat="false" ht="18" hidden="false" customHeight="true" outlineLevel="0" collapsed="false">
      <c r="A37" s="7" t="s">
        <v>159</v>
      </c>
      <c r="B37" s="7" t="s">
        <v>306</v>
      </c>
      <c r="C37" s="7" t="s">
        <v>227</v>
      </c>
      <c r="D37" s="7" t="s">
        <v>396</v>
      </c>
      <c r="E37" s="7" t="s">
        <v>401</v>
      </c>
      <c r="F37" s="7" t="s">
        <v>402</v>
      </c>
      <c r="G37" s="7" t="s">
        <v>357</v>
      </c>
      <c r="H37" s="7" t="str">
        <f aca="false">IF(ISNUMBER(MATCH(LOWER(TRIM(C37)),'Sample Mapping'!$A$5:$A$42,0)),"Yes","No")</f>
        <v>Yes</v>
      </c>
      <c r="I37" s="35" t="s">
        <v>96</v>
      </c>
      <c r="J37" s="26" t="n">
        <f aca="false">IF(E37="",0,LEN(E37)-LEN(SUBSTITUTE(E37,CHAR(10),""))+1)</f>
        <v>1</v>
      </c>
    </row>
    <row r="38" customFormat="false" ht="18" hidden="false" customHeight="true" outlineLevel="0" collapsed="false">
      <c r="A38" s="7" t="s">
        <v>159</v>
      </c>
      <c r="B38" s="7" t="s">
        <v>80</v>
      </c>
      <c r="C38" s="7" t="s">
        <v>231</v>
      </c>
      <c r="D38" s="7" t="s">
        <v>396</v>
      </c>
      <c r="E38" s="7"/>
      <c r="F38" s="7"/>
      <c r="G38" s="7" t="s">
        <v>403</v>
      </c>
      <c r="H38" s="7" t="str">
        <f aca="false">IF(ISNUMBER(MATCH(LOWER(TRIM(C38)),'Sample Mapping'!$A$5:$A$42,0)),"Yes","No")</f>
        <v>Yes</v>
      </c>
      <c r="I38" s="34" t="s">
        <v>100</v>
      </c>
      <c r="J38" s="26" t="n">
        <f aca="false">IF(E38="",0,LEN(E38)-LEN(SUBSTITUTE(E38,CHAR(10),""))+1)</f>
        <v>0</v>
      </c>
    </row>
    <row r="39" customFormat="false" ht="18" hidden="false" customHeight="true" outlineLevel="0" collapsed="false">
      <c r="A39" s="7" t="s">
        <v>159</v>
      </c>
      <c r="B39" s="7" t="s">
        <v>87</v>
      </c>
      <c r="C39" s="7" t="s">
        <v>233</v>
      </c>
      <c r="D39" s="7" t="s">
        <v>396</v>
      </c>
      <c r="E39" s="7" t="s">
        <v>73</v>
      </c>
      <c r="F39" s="7"/>
      <c r="G39" s="7" t="s">
        <v>336</v>
      </c>
      <c r="H39" s="7" t="str">
        <f aca="false">IF(ISNUMBER(MATCH(LOWER(TRIM(C39)),'Sample Mapping'!$A$5:$A$42,0)),"Yes","No")</f>
        <v>Yes</v>
      </c>
      <c r="I39" s="34" t="s">
        <v>98</v>
      </c>
      <c r="J39" s="26" t="n">
        <f aca="false">IF(E39="",0,LEN(E39)-LEN(SUBSTITUTE(E39,CHAR(10),""))+1)</f>
        <v>1</v>
      </c>
    </row>
    <row r="40" customFormat="false" ht="18" hidden="false" customHeight="true" outlineLevel="0" collapsed="false">
      <c r="A40" s="7" t="s">
        <v>159</v>
      </c>
      <c r="B40" s="7" t="s">
        <v>394</v>
      </c>
      <c r="C40" s="7" t="s">
        <v>395</v>
      </c>
      <c r="D40" s="7" t="s">
        <v>404</v>
      </c>
      <c r="E40" s="7" t="s">
        <v>70</v>
      </c>
      <c r="F40" s="7" t="s">
        <v>368</v>
      </c>
      <c r="G40" s="7"/>
      <c r="H40" s="7" t="str">
        <f aca="false">IF(ISNUMBER(MATCH(LOWER(TRIM(C40)),'Sample Mapping'!$A$5:$A$42,0)),"Yes","No")</f>
        <v>No</v>
      </c>
      <c r="I40" s="34" t="s">
        <v>102</v>
      </c>
      <c r="J40" s="26" t="n">
        <f aca="false">IF(E40="",0,LEN(E40)-LEN(SUBSTITUTE(E40,CHAR(10),""))+1)</f>
        <v>1</v>
      </c>
    </row>
    <row r="41" customFormat="false" ht="18" hidden="false" customHeight="true" outlineLevel="0" collapsed="false">
      <c r="A41" s="7" t="s">
        <v>159</v>
      </c>
      <c r="B41" s="7" t="s">
        <v>82</v>
      </c>
      <c r="C41" s="7" t="s">
        <v>223</v>
      </c>
      <c r="D41" s="7" t="s">
        <v>404</v>
      </c>
      <c r="E41" s="7" t="s">
        <v>405</v>
      </c>
      <c r="F41" s="7" t="s">
        <v>356</v>
      </c>
      <c r="G41" s="7" t="s">
        <v>375</v>
      </c>
      <c r="H41" s="7" t="str">
        <f aca="false">IF(ISNUMBER(MATCH(LOWER(TRIM(C41)),'Sample Mapping'!$A$5:$A$42,0)),"Yes","No")</f>
        <v>Yes</v>
      </c>
      <c r="I41" s="35" t="s">
        <v>96</v>
      </c>
      <c r="J41" s="26" t="n">
        <f aca="false">IF(E41="",0,LEN(E41)-LEN(SUBSTITUTE(E41,CHAR(10),""))+1)</f>
        <v>1</v>
      </c>
    </row>
    <row r="42" customFormat="false" ht="18" hidden="false" customHeight="true" outlineLevel="0" collapsed="false">
      <c r="A42" s="7" t="s">
        <v>159</v>
      </c>
      <c r="B42" s="7" t="s">
        <v>304</v>
      </c>
      <c r="C42" s="7" t="s">
        <v>225</v>
      </c>
      <c r="D42" s="7" t="s">
        <v>404</v>
      </c>
      <c r="E42" s="7" t="s">
        <v>406</v>
      </c>
      <c r="F42" s="7"/>
      <c r="G42" s="7" t="s">
        <v>336</v>
      </c>
      <c r="H42" s="7" t="str">
        <f aca="false">IF(ISNUMBER(MATCH(LOWER(TRIM(C42)),'Sample Mapping'!$A$5:$A$42,0)),"Yes","No")</f>
        <v>Yes</v>
      </c>
      <c r="I42" s="34" t="s">
        <v>98</v>
      </c>
      <c r="J42" s="26" t="n">
        <f aca="false">IF(E42="",0,LEN(E42)-LEN(SUBSTITUTE(E42,CHAR(10),""))+1)</f>
        <v>1</v>
      </c>
    </row>
    <row r="43" customFormat="false" ht="18" hidden="false" customHeight="true" outlineLevel="0" collapsed="false">
      <c r="A43" s="7" t="s">
        <v>159</v>
      </c>
      <c r="B43" s="7" t="s">
        <v>306</v>
      </c>
      <c r="C43" s="7" t="s">
        <v>227</v>
      </c>
      <c r="D43" s="7" t="s">
        <v>404</v>
      </c>
      <c r="E43" s="7" t="s">
        <v>407</v>
      </c>
      <c r="F43" s="7"/>
      <c r="G43" s="7" t="s">
        <v>336</v>
      </c>
      <c r="H43" s="7" t="str">
        <f aca="false">IF(ISNUMBER(MATCH(LOWER(TRIM(C43)),'Sample Mapping'!$A$5:$A$42,0)),"Yes","No")</f>
        <v>Yes</v>
      </c>
      <c r="I43" s="34" t="s">
        <v>98</v>
      </c>
      <c r="J43" s="26" t="n">
        <f aca="false">IF(E43="",0,LEN(E43)-LEN(SUBSTITUTE(E43,CHAR(10),""))+1)</f>
        <v>1</v>
      </c>
    </row>
    <row r="44" customFormat="false" ht="48" hidden="false" customHeight="true" outlineLevel="0" collapsed="false">
      <c r="A44" s="7" t="s">
        <v>159</v>
      </c>
      <c r="B44" s="7" t="s">
        <v>80</v>
      </c>
      <c r="C44" s="7" t="s">
        <v>231</v>
      </c>
      <c r="D44" s="7" t="s">
        <v>404</v>
      </c>
      <c r="E44" s="7" t="s">
        <v>408</v>
      </c>
      <c r="F44" s="7" t="s">
        <v>409</v>
      </c>
      <c r="G44" s="7" t="s">
        <v>351</v>
      </c>
      <c r="H44" s="7" t="str">
        <f aca="false">IF(ISNUMBER(MATCH(LOWER(TRIM(C44)),'Sample Mapping'!$A$5:$A$42,0)),"Yes","No")</f>
        <v>Yes</v>
      </c>
      <c r="I44" s="35" t="s">
        <v>96</v>
      </c>
      <c r="J44" s="26" t="n">
        <f aca="false">IF(E44="",0,LEN(E44)-LEN(SUBSTITUTE(E44,CHAR(10),""))+1)</f>
        <v>3</v>
      </c>
    </row>
    <row r="45" customFormat="false" ht="18" hidden="false" customHeight="true" outlineLevel="0" collapsed="false">
      <c r="A45" s="7" t="s">
        <v>159</v>
      </c>
      <c r="B45" s="7" t="s">
        <v>316</v>
      </c>
      <c r="C45" s="7" t="s">
        <v>237</v>
      </c>
      <c r="D45" s="7" t="s">
        <v>404</v>
      </c>
      <c r="E45" s="7" t="s">
        <v>410</v>
      </c>
      <c r="F45" s="7" t="s">
        <v>411</v>
      </c>
      <c r="G45" s="7" t="s">
        <v>412</v>
      </c>
      <c r="H45" s="7" t="str">
        <f aca="false">IF(ISNUMBER(MATCH(LOWER(TRIM(C45)),'Sample Mapping'!$A$5:$A$42,0)),"Yes","No")</f>
        <v>Yes</v>
      </c>
      <c r="I45" s="35" t="s">
        <v>96</v>
      </c>
      <c r="J45" s="26" t="n">
        <f aca="false">IF(E45="",0,LEN(E45)-LEN(SUBSTITUTE(E45,CHAR(10),""))+1)</f>
        <v>1</v>
      </c>
    </row>
    <row r="46" customFormat="false" ht="18" hidden="false" customHeight="true" outlineLevel="0" collapsed="false">
      <c r="A46" s="7" t="s">
        <v>159</v>
      </c>
      <c r="B46" s="7" t="s">
        <v>81</v>
      </c>
      <c r="C46" s="7" t="s">
        <v>239</v>
      </c>
      <c r="D46" s="7" t="s">
        <v>404</v>
      </c>
      <c r="E46" s="7" t="s">
        <v>413</v>
      </c>
      <c r="F46" s="7" t="s">
        <v>414</v>
      </c>
      <c r="G46" s="7"/>
      <c r="H46" s="7" t="str">
        <f aca="false">IF(ISNUMBER(MATCH(LOWER(TRIM(C46)),'Sample Mapping'!$A$5:$A$42,0)),"Yes","No")</f>
        <v>Yes</v>
      </c>
      <c r="I46" s="35" t="s">
        <v>96</v>
      </c>
      <c r="J46" s="26" t="n">
        <f aca="false">IF(E46="",0,LEN(E46)-LEN(SUBSTITUTE(E46,CHAR(10),""))+1)</f>
        <v>1</v>
      </c>
    </row>
    <row r="47" customFormat="false" ht="33" hidden="false" customHeight="true" outlineLevel="0" collapsed="false">
      <c r="A47" s="7" t="s">
        <v>159</v>
      </c>
      <c r="B47" s="7" t="s">
        <v>82</v>
      </c>
      <c r="C47" s="7" t="s">
        <v>223</v>
      </c>
      <c r="D47" s="7" t="s">
        <v>415</v>
      </c>
      <c r="E47" s="7" t="s">
        <v>416</v>
      </c>
      <c r="F47" s="7" t="s">
        <v>417</v>
      </c>
      <c r="G47" s="7" t="s">
        <v>375</v>
      </c>
      <c r="H47" s="7" t="str">
        <f aca="false">IF(ISNUMBER(MATCH(LOWER(TRIM(C47)),'Sample Mapping'!$A$5:$A$42,0)),"Yes","No")</f>
        <v>Yes</v>
      </c>
      <c r="I47" s="35" t="s">
        <v>96</v>
      </c>
      <c r="J47" s="26" t="n">
        <f aca="false">IF(E47="",0,LEN(E47)-LEN(SUBSTITUTE(E47,CHAR(10),""))+1)</f>
        <v>2</v>
      </c>
    </row>
    <row r="48" customFormat="false" ht="18" hidden="false" customHeight="true" outlineLevel="0" collapsed="false">
      <c r="A48" s="7" t="s">
        <v>159</v>
      </c>
      <c r="B48" s="7" t="s">
        <v>304</v>
      </c>
      <c r="C48" s="7" t="s">
        <v>225</v>
      </c>
      <c r="D48" s="7" t="s">
        <v>415</v>
      </c>
      <c r="E48" s="7"/>
      <c r="F48" s="7"/>
      <c r="G48" s="7" t="s">
        <v>338</v>
      </c>
      <c r="H48" s="7" t="str">
        <f aca="false">IF(ISNUMBER(MATCH(LOWER(TRIM(C48)),'Sample Mapping'!$A$5:$A$42,0)),"Yes","No")</f>
        <v>Yes</v>
      </c>
      <c r="I48" s="34" t="s">
        <v>100</v>
      </c>
      <c r="J48" s="26" t="n">
        <f aca="false">IF(E48="",0,LEN(E48)-LEN(SUBSTITUTE(E48,CHAR(10),""))+1)</f>
        <v>0</v>
      </c>
    </row>
    <row r="49" customFormat="false" ht="33" hidden="false" customHeight="true" outlineLevel="0" collapsed="false">
      <c r="A49" s="7" t="s">
        <v>159</v>
      </c>
      <c r="B49" s="7" t="s">
        <v>80</v>
      </c>
      <c r="C49" s="7" t="s">
        <v>231</v>
      </c>
      <c r="D49" s="7" t="s">
        <v>415</v>
      </c>
      <c r="E49" s="7" t="s">
        <v>418</v>
      </c>
      <c r="F49" s="7" t="s">
        <v>419</v>
      </c>
      <c r="G49" s="7" t="s">
        <v>384</v>
      </c>
      <c r="H49" s="7" t="str">
        <f aca="false">IF(ISNUMBER(MATCH(LOWER(TRIM(C49)),'Sample Mapping'!$A$5:$A$42,0)),"Yes","No")</f>
        <v>Yes</v>
      </c>
      <c r="I49" s="35" t="s">
        <v>96</v>
      </c>
      <c r="J49" s="26" t="n">
        <f aca="false">IF(E49="",0,LEN(E49)-LEN(SUBSTITUTE(E49,CHAR(10),""))+1)</f>
        <v>2</v>
      </c>
    </row>
    <row r="50" customFormat="false" ht="18" hidden="false" customHeight="true" outlineLevel="0" collapsed="false">
      <c r="A50" s="7" t="s">
        <v>159</v>
      </c>
      <c r="B50" s="7" t="s">
        <v>87</v>
      </c>
      <c r="C50" s="7" t="s">
        <v>233</v>
      </c>
      <c r="D50" s="7" t="s">
        <v>415</v>
      </c>
      <c r="E50" s="7" t="s">
        <v>363</v>
      </c>
      <c r="F50" s="7" t="s">
        <v>420</v>
      </c>
      <c r="G50" s="7"/>
      <c r="H50" s="7" t="str">
        <f aca="false">IF(ISNUMBER(MATCH(LOWER(TRIM(C50)),'Sample Mapping'!$A$5:$A$42,0)),"Yes","No")</f>
        <v>Yes</v>
      </c>
      <c r="I50" s="35" t="s">
        <v>96</v>
      </c>
      <c r="J50" s="26" t="n">
        <f aca="false">IF(E50="",0,LEN(E50)-LEN(SUBSTITUTE(E50,CHAR(10),""))+1)</f>
        <v>1</v>
      </c>
    </row>
    <row r="51" customFormat="false" ht="18" hidden="false" customHeight="true" outlineLevel="0" collapsed="false">
      <c r="A51" s="7" t="s">
        <v>159</v>
      </c>
      <c r="B51" s="7" t="s">
        <v>85</v>
      </c>
      <c r="C51" s="7" t="s">
        <v>235</v>
      </c>
      <c r="D51" s="7" t="s">
        <v>415</v>
      </c>
      <c r="E51" s="7" t="s">
        <v>400</v>
      </c>
      <c r="F51" s="7" t="s">
        <v>75</v>
      </c>
      <c r="G51" s="7" t="s">
        <v>412</v>
      </c>
      <c r="H51" s="7" t="str">
        <f aca="false">IF(ISNUMBER(MATCH(LOWER(TRIM(C51)),'Sample Mapping'!$A$5:$A$42,0)),"Yes","No")</f>
        <v>Yes</v>
      </c>
      <c r="I51" s="35" t="s">
        <v>96</v>
      </c>
      <c r="J51" s="26" t="n">
        <f aca="false">IF(E51="",0,LEN(E51)-LEN(SUBSTITUTE(E51,CHAR(10),""))+1)</f>
        <v>1</v>
      </c>
    </row>
    <row r="52" customFormat="false" ht="18" hidden="false" customHeight="true" outlineLevel="0" collapsed="false">
      <c r="A52" s="7" t="s">
        <v>159</v>
      </c>
      <c r="B52" s="7" t="s">
        <v>81</v>
      </c>
      <c r="C52" s="7" t="s">
        <v>421</v>
      </c>
      <c r="D52" s="7" t="s">
        <v>415</v>
      </c>
      <c r="E52" s="7" t="s">
        <v>422</v>
      </c>
      <c r="F52" s="7" t="s">
        <v>423</v>
      </c>
      <c r="G52" s="7" t="s">
        <v>335</v>
      </c>
      <c r="H52" s="7" t="str">
        <f aca="false">IF(ISNUMBER(MATCH(LOWER(TRIM(C52)),'Sample Mapping'!$A$5:$A$42,0)),"Yes","No")</f>
        <v>Yes</v>
      </c>
      <c r="I52" s="35" t="s">
        <v>96</v>
      </c>
      <c r="J52" s="26" t="n">
        <f aca="false">IF(E52="",0,LEN(E52)-LEN(SUBSTITUTE(E52,CHAR(10),""))+1)</f>
        <v>1</v>
      </c>
    </row>
    <row r="53" customFormat="false" ht="18" hidden="false" customHeight="true" outlineLevel="0" collapsed="false">
      <c r="A53" s="7" t="s">
        <v>159</v>
      </c>
      <c r="B53" s="7" t="s">
        <v>304</v>
      </c>
      <c r="C53" s="7" t="s">
        <v>225</v>
      </c>
      <c r="D53" s="7" t="s">
        <v>424</v>
      </c>
      <c r="E53" s="7" t="s">
        <v>346</v>
      </c>
      <c r="F53" s="7" t="s">
        <v>347</v>
      </c>
      <c r="G53" s="7" t="s">
        <v>348</v>
      </c>
      <c r="H53" s="7" t="str">
        <f aca="false">IF(ISNUMBER(MATCH(LOWER(TRIM(C53)),'Sample Mapping'!$A$5:$A$42,0)),"Yes","No")</f>
        <v>Yes</v>
      </c>
      <c r="I53" s="34" t="s">
        <v>104</v>
      </c>
      <c r="J53" s="26" t="n">
        <f aca="false">IF(E53="",0,LEN(E53)-LEN(SUBSTITUTE(E53,CHAR(10),""))+1)</f>
        <v>1</v>
      </c>
    </row>
    <row r="54" customFormat="false" ht="18" hidden="false" customHeight="true" outlineLevel="0" collapsed="false">
      <c r="A54" s="7" t="s">
        <v>159</v>
      </c>
      <c r="B54" s="7" t="s">
        <v>310</v>
      </c>
      <c r="C54" s="7" t="s">
        <v>425</v>
      </c>
      <c r="D54" s="7" t="s">
        <v>424</v>
      </c>
      <c r="E54" s="7" t="s">
        <v>426</v>
      </c>
      <c r="F54" s="7" t="s">
        <v>427</v>
      </c>
      <c r="G54" s="7"/>
      <c r="H54" s="7" t="str">
        <f aca="false">IF(ISNUMBER(MATCH(LOWER(TRIM(C54)),'Sample Mapping'!$A$5:$A$42,0)),"Yes","No")</f>
        <v>No</v>
      </c>
      <c r="I54" s="34" t="s">
        <v>106</v>
      </c>
      <c r="J54" s="26" t="n">
        <f aca="false">IF(E54="",0,LEN(E54)-LEN(SUBSTITUTE(E54,CHAR(10),""))+1)</f>
        <v>1</v>
      </c>
    </row>
    <row r="55" customFormat="false" ht="18" hidden="false" customHeight="true" outlineLevel="0" collapsed="false">
      <c r="A55" s="7" t="s">
        <v>159</v>
      </c>
      <c r="B55" s="7" t="s">
        <v>87</v>
      </c>
      <c r="C55" s="7" t="s">
        <v>233</v>
      </c>
      <c r="D55" s="7" t="s">
        <v>424</v>
      </c>
      <c r="E55" s="7" t="s">
        <v>428</v>
      </c>
      <c r="F55" s="7" t="s">
        <v>429</v>
      </c>
      <c r="G55" s="7"/>
      <c r="H55" s="7" t="str">
        <f aca="false">IF(ISNUMBER(MATCH(LOWER(TRIM(C55)),'Sample Mapping'!$A$5:$A$42,0)),"Yes","No")</f>
        <v>Yes</v>
      </c>
      <c r="I55" s="35" t="s">
        <v>96</v>
      </c>
      <c r="J55" s="26" t="n">
        <f aca="false">IF(E55="",0,LEN(E55)-LEN(SUBSTITUTE(E55,CHAR(10),""))+1)</f>
        <v>1</v>
      </c>
    </row>
    <row r="56" customFormat="false" ht="33" hidden="false" customHeight="true" outlineLevel="0" collapsed="false">
      <c r="A56" s="7" t="s">
        <v>159</v>
      </c>
      <c r="B56" s="7" t="s">
        <v>85</v>
      </c>
      <c r="C56" s="7" t="s">
        <v>235</v>
      </c>
      <c r="D56" s="7" t="s">
        <v>424</v>
      </c>
      <c r="E56" s="7" t="s">
        <v>430</v>
      </c>
      <c r="F56" s="7" t="s">
        <v>431</v>
      </c>
      <c r="G56" s="7" t="s">
        <v>335</v>
      </c>
      <c r="H56" s="7" t="str">
        <f aca="false">IF(ISNUMBER(MATCH(LOWER(TRIM(C56)),'Sample Mapping'!$A$5:$A$42,0)),"Yes","No")</f>
        <v>Yes</v>
      </c>
      <c r="I56" s="35" t="s">
        <v>96</v>
      </c>
      <c r="J56" s="26" t="n">
        <f aca="false">IF(E56="",0,LEN(E56)-LEN(SUBSTITUTE(E56,CHAR(10),""))+1)</f>
        <v>2</v>
      </c>
    </row>
    <row r="57" customFormat="false" ht="33" hidden="false" customHeight="true" outlineLevel="0" collapsed="false">
      <c r="A57" s="7" t="s">
        <v>159</v>
      </c>
      <c r="B57" s="7" t="s">
        <v>316</v>
      </c>
      <c r="C57" s="7" t="s">
        <v>237</v>
      </c>
      <c r="D57" s="7" t="s">
        <v>424</v>
      </c>
      <c r="E57" s="7" t="s">
        <v>432</v>
      </c>
      <c r="F57" s="7" t="s">
        <v>433</v>
      </c>
      <c r="G57" s="7" t="s">
        <v>384</v>
      </c>
      <c r="H57" s="7" t="str">
        <f aca="false">IF(ISNUMBER(MATCH(LOWER(TRIM(C57)),'Sample Mapping'!$A$5:$A$42,0)),"Yes","No")</f>
        <v>Yes</v>
      </c>
      <c r="I57" s="35" t="s">
        <v>96</v>
      </c>
      <c r="J57" s="26" t="n">
        <f aca="false">IF(E57="",0,LEN(E57)-LEN(SUBSTITUTE(E57,CHAR(10),""))+1)</f>
        <v>2</v>
      </c>
    </row>
    <row r="58" customFormat="false" ht="18" hidden="false" customHeight="true" outlineLevel="0" collapsed="false">
      <c r="A58" s="7" t="s">
        <v>159</v>
      </c>
      <c r="B58" s="7" t="s">
        <v>81</v>
      </c>
      <c r="C58" s="7" t="s">
        <v>434</v>
      </c>
      <c r="D58" s="7" t="s">
        <v>424</v>
      </c>
      <c r="E58" s="7" t="s">
        <v>435</v>
      </c>
      <c r="F58" s="7" t="s">
        <v>406</v>
      </c>
      <c r="G58" s="7" t="s">
        <v>357</v>
      </c>
      <c r="H58" s="7" t="str">
        <f aca="false">IF(ISNUMBER(MATCH(LOWER(TRIM(C58)),'Sample Mapping'!$A$5:$A$42,0)),"Yes","No")</f>
        <v>Yes</v>
      </c>
      <c r="I58" s="35" t="s">
        <v>96</v>
      </c>
      <c r="J58" s="26" t="n">
        <f aca="false">IF(E58="",0,LEN(E58)-LEN(SUBSTITUTE(E58,CHAR(10),""))+1)</f>
        <v>1</v>
      </c>
    </row>
    <row r="59" customFormat="false" ht="18" hidden="false" customHeight="true" outlineLevel="0" collapsed="false">
      <c r="A59" s="7" t="s">
        <v>159</v>
      </c>
      <c r="B59" s="7" t="s">
        <v>308</v>
      </c>
      <c r="C59" s="7" t="s">
        <v>229</v>
      </c>
      <c r="D59" s="7" t="s">
        <v>436</v>
      </c>
      <c r="E59" s="7" t="s">
        <v>368</v>
      </c>
      <c r="F59" s="7"/>
      <c r="G59" s="7" t="s">
        <v>336</v>
      </c>
      <c r="H59" s="7" t="str">
        <f aca="false">IF(ISNUMBER(MATCH(LOWER(TRIM(C59)),'Sample Mapping'!$A$5:$A$42,0)),"Yes","No")</f>
        <v>Yes</v>
      </c>
      <c r="I59" s="34" t="s">
        <v>98</v>
      </c>
      <c r="J59" s="26" t="n">
        <f aca="false">IF(E59="",0,LEN(E59)-LEN(SUBSTITUTE(E59,CHAR(10),""))+1)</f>
        <v>1</v>
      </c>
    </row>
    <row r="60" customFormat="false" ht="33" hidden="false" customHeight="true" outlineLevel="0" collapsed="false">
      <c r="A60" s="7" t="s">
        <v>159</v>
      </c>
      <c r="B60" s="7" t="s">
        <v>310</v>
      </c>
      <c r="C60" s="7" t="s">
        <v>311</v>
      </c>
      <c r="D60" s="7" t="s">
        <v>436</v>
      </c>
      <c r="E60" s="7" t="s">
        <v>437</v>
      </c>
      <c r="F60" s="7" t="s">
        <v>438</v>
      </c>
      <c r="G60" s="7" t="s">
        <v>375</v>
      </c>
      <c r="H60" s="7" t="str">
        <f aca="false">IF(ISNUMBER(MATCH(LOWER(TRIM(C60)),'Sample Mapping'!$A$5:$A$42,0)),"Yes","No")</f>
        <v>No</v>
      </c>
      <c r="I60" s="34" t="s">
        <v>106</v>
      </c>
      <c r="J60" s="26" t="n">
        <f aca="false">IF(E60="",0,LEN(E60)-LEN(SUBSTITUTE(E60,CHAR(10),""))+1)</f>
        <v>2</v>
      </c>
    </row>
    <row r="61" customFormat="false" ht="48" hidden="false" customHeight="true" outlineLevel="0" collapsed="false">
      <c r="A61" s="7" t="s">
        <v>159</v>
      </c>
      <c r="B61" s="7" t="s">
        <v>80</v>
      </c>
      <c r="C61" s="7" t="s">
        <v>439</v>
      </c>
      <c r="D61" s="7" t="s">
        <v>436</v>
      </c>
      <c r="E61" s="7" t="s">
        <v>440</v>
      </c>
      <c r="F61" s="7" t="s">
        <v>441</v>
      </c>
      <c r="G61" s="7"/>
      <c r="H61" s="7" t="str">
        <f aca="false">IF(ISNUMBER(MATCH(LOWER(TRIM(C61)),'Sample Mapping'!$A$5:$A$42,0)),"Yes","No")</f>
        <v>Yes</v>
      </c>
      <c r="I61" s="35" t="s">
        <v>96</v>
      </c>
      <c r="J61" s="26" t="n">
        <f aca="false">IF(E61="",0,LEN(E61)-LEN(SUBSTITUTE(E61,CHAR(10),""))+1)</f>
        <v>3</v>
      </c>
    </row>
    <row r="62" customFormat="false" ht="48" hidden="false" customHeight="true" outlineLevel="0" collapsed="false">
      <c r="A62" s="7" t="s">
        <v>159</v>
      </c>
      <c r="B62" s="7" t="s">
        <v>87</v>
      </c>
      <c r="C62" s="7" t="s">
        <v>442</v>
      </c>
      <c r="D62" s="7" t="s">
        <v>436</v>
      </c>
      <c r="E62" s="7" t="s">
        <v>443</v>
      </c>
      <c r="F62" s="7" t="s">
        <v>444</v>
      </c>
      <c r="G62" s="7" t="s">
        <v>384</v>
      </c>
      <c r="H62" s="7" t="str">
        <f aca="false">IF(ISNUMBER(MATCH(LOWER(TRIM(C62)),'Sample Mapping'!$A$5:$A$42,0)),"Yes","No")</f>
        <v>Yes</v>
      </c>
      <c r="I62" s="35" t="s">
        <v>96</v>
      </c>
      <c r="J62" s="26" t="n">
        <f aca="false">IF(E62="",0,LEN(E62)-LEN(SUBSTITUTE(E62,CHAR(10),""))+1)</f>
        <v>3</v>
      </c>
    </row>
    <row r="63" customFormat="false" ht="33" hidden="false" customHeight="true" outlineLevel="0" collapsed="false">
      <c r="A63" s="7" t="s">
        <v>159</v>
      </c>
      <c r="B63" s="7" t="s">
        <v>81</v>
      </c>
      <c r="C63" s="7" t="s">
        <v>239</v>
      </c>
      <c r="D63" s="7" t="s">
        <v>436</v>
      </c>
      <c r="E63" s="7" t="s">
        <v>445</v>
      </c>
      <c r="F63" s="7" t="s">
        <v>446</v>
      </c>
      <c r="G63" s="7"/>
      <c r="H63" s="7" t="str">
        <f aca="false">IF(ISNUMBER(MATCH(LOWER(TRIM(C63)),'Sample Mapping'!$A$5:$A$42,0)),"Yes","No")</f>
        <v>Yes</v>
      </c>
      <c r="I63" s="35" t="s">
        <v>96</v>
      </c>
      <c r="J63" s="26" t="n">
        <f aca="false">IF(E63="",0,LEN(E63)-LEN(SUBSTITUTE(E63,CHAR(10),""))+1)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1"/>
  </cols>
  <sheetData>
    <row r="1" customFormat="false" ht="19.7" hidden="false" customHeight="false" outlineLevel="0" collapsed="false">
      <c r="A1" s="1" t="s">
        <v>447</v>
      </c>
    </row>
    <row r="2" customFormat="false" ht="15" hidden="false" customHeight="false" outlineLevel="0" collapsed="false">
      <c r="A2" s="2" t="s">
        <v>448</v>
      </c>
    </row>
    <row r="4" customFormat="false" ht="15" hidden="false" customHeight="false" outlineLevel="0" collapsed="false">
      <c r="A4" s="3" t="s">
        <v>153</v>
      </c>
      <c r="B4" s="3" t="s">
        <v>243</v>
      </c>
      <c r="C4" s="3" t="s">
        <v>163</v>
      </c>
      <c r="D4" s="3" t="s">
        <v>164</v>
      </c>
      <c r="E4" s="3" t="s">
        <v>449</v>
      </c>
      <c r="F4" s="3" t="s">
        <v>450</v>
      </c>
      <c r="G4" s="3" t="s">
        <v>451</v>
      </c>
      <c r="H4" s="3" t="s">
        <v>43</v>
      </c>
      <c r="I4" s="3" t="s">
        <v>452</v>
      </c>
      <c r="J4" s="3" t="s">
        <v>453</v>
      </c>
      <c r="K4" s="3" t="s">
        <v>454</v>
      </c>
    </row>
    <row r="5" customFormat="false" ht="15" hidden="false" customHeight="false" outlineLevel="0" collapsed="false">
      <c r="A5" s="30" t="s">
        <v>156</v>
      </c>
      <c r="B5" s="30" t="s">
        <v>88</v>
      </c>
      <c r="C5" s="30" t="s">
        <v>167</v>
      </c>
      <c r="D5" s="30" t="str">
        <f aca="false">INDEX('Sample Mapping'!$B$5:$B$42,MATCH(C5,'Sample Mapping'!$A$5:$A$42,0))</f>
        <v>U1002</v>
      </c>
      <c r="E5" s="36" t="n">
        <v>45936</v>
      </c>
      <c r="F5" s="37" t="n">
        <v>0.402777777777778</v>
      </c>
      <c r="G5" s="37" t="n">
        <v>0.413194444444444</v>
      </c>
      <c r="H5" s="30" t="str">
        <f aca="false">INDEX(Sessions!$B$5:$B$8,MATCH(A5,Sessions!$A$5:$A$8,0))</f>
        <v>1-Day Workshop</v>
      </c>
      <c r="I5" s="30" t="n">
        <f aca="false">E5-INDEX(Sessions!$D$5:$D$8,MATCH(A5,Sessions!$A$5:$A$8,0))+1</f>
        <v>1</v>
      </c>
      <c r="J5" s="30" t="n">
        <f aca="false">ROUND((G5-F5)*1440,0)</f>
        <v>15</v>
      </c>
      <c r="K5" s="30" t="n">
        <f aca="false">HOUR(F5)</f>
        <v>9</v>
      </c>
    </row>
    <row r="6" customFormat="false" ht="15" hidden="false" customHeight="false" outlineLevel="0" collapsed="false">
      <c r="A6" s="30" t="s">
        <v>156</v>
      </c>
      <c r="B6" s="30" t="s">
        <v>88</v>
      </c>
      <c r="C6" s="30" t="s">
        <v>167</v>
      </c>
      <c r="D6" s="30" t="str">
        <f aca="false">INDEX('Sample Mapping'!$B$5:$B$42,MATCH(C6,'Sample Mapping'!$A$5:$A$42,0))</f>
        <v>U1002</v>
      </c>
      <c r="E6" s="36" t="n">
        <v>45936</v>
      </c>
      <c r="F6" s="37" t="n">
        <v>0.458333333333333</v>
      </c>
      <c r="G6" s="37" t="n">
        <v>0.510416666666667</v>
      </c>
      <c r="H6" s="30" t="str">
        <f aca="false">INDEX(Sessions!$B$5:$B$8,MATCH(A6,Sessions!$A$5:$A$8,0))</f>
        <v>1-Day Workshop</v>
      </c>
      <c r="I6" s="30" t="n">
        <f aca="false">E6-INDEX(Sessions!$D$5:$D$8,MATCH(A6,Sessions!$A$5:$A$8,0))+1</f>
        <v>1</v>
      </c>
      <c r="J6" s="30" t="n">
        <f aca="false">ROUND((G6-F6)*1440,0)</f>
        <v>75</v>
      </c>
      <c r="K6" s="30" t="n">
        <f aca="false">HOUR(F6)</f>
        <v>11</v>
      </c>
    </row>
    <row r="7" customFormat="false" ht="15" hidden="false" customHeight="false" outlineLevel="0" collapsed="false">
      <c r="A7" s="30" t="s">
        <v>156</v>
      </c>
      <c r="B7" s="30" t="s">
        <v>251</v>
      </c>
      <c r="C7" s="30" t="s">
        <v>171</v>
      </c>
      <c r="D7" s="30" t="str">
        <f aca="false">INDEX('Sample Mapping'!$B$5:$B$42,MATCH(C7,'Sample Mapping'!$A$5:$A$42,0))</f>
        <v>U1004</v>
      </c>
      <c r="E7" s="36" t="n">
        <v>45936</v>
      </c>
      <c r="F7" s="37" t="n">
        <v>0.40625</v>
      </c>
      <c r="G7" s="37" t="n">
        <v>0.416666666666667</v>
      </c>
      <c r="H7" s="30" t="str">
        <f aca="false">INDEX(Sessions!$B$5:$B$8,MATCH(A7,Sessions!$A$5:$A$8,0))</f>
        <v>1-Day Workshop</v>
      </c>
      <c r="I7" s="30" t="n">
        <f aca="false">E7-INDEX(Sessions!$D$5:$D$8,MATCH(A7,Sessions!$A$5:$A$8,0))+1</f>
        <v>1</v>
      </c>
      <c r="J7" s="30" t="n">
        <f aca="false">ROUND((G7-F7)*1440,0)</f>
        <v>15</v>
      </c>
      <c r="K7" s="30" t="n">
        <f aca="false">HOUR(F7)</f>
        <v>9</v>
      </c>
    </row>
    <row r="8" customFormat="false" ht="15" hidden="false" customHeight="false" outlineLevel="0" collapsed="false">
      <c r="A8" s="30" t="s">
        <v>156</v>
      </c>
      <c r="B8" s="30" t="s">
        <v>261</v>
      </c>
      <c r="C8" s="30" t="s">
        <v>181</v>
      </c>
      <c r="D8" s="30" t="str">
        <f aca="false">INDEX('Sample Mapping'!$B$5:$B$42,MATCH(C8,'Sample Mapping'!$A$5:$A$42,0))</f>
        <v>U1009</v>
      </c>
      <c r="E8" s="36" t="n">
        <v>45936</v>
      </c>
      <c r="F8" s="37" t="n">
        <v>0.423611111111111</v>
      </c>
      <c r="G8" s="37" t="n">
        <v>0.475694444444444</v>
      </c>
      <c r="H8" s="30" t="str">
        <f aca="false">INDEX(Sessions!$B$5:$B$8,MATCH(A8,Sessions!$A$5:$A$8,0))</f>
        <v>1-Day Workshop</v>
      </c>
      <c r="I8" s="30" t="n">
        <f aca="false">E8-INDEX(Sessions!$D$5:$D$8,MATCH(A8,Sessions!$A$5:$A$8,0))+1</f>
        <v>1</v>
      </c>
      <c r="J8" s="30" t="n">
        <f aca="false">ROUND((G8-F8)*1440,0)</f>
        <v>75</v>
      </c>
      <c r="K8" s="30" t="n">
        <f aca="false">HOUR(F8)</f>
        <v>10</v>
      </c>
    </row>
    <row r="9" customFormat="false" ht="15" hidden="false" customHeight="false" outlineLevel="0" collapsed="false">
      <c r="A9" s="30" t="s">
        <v>156</v>
      </c>
      <c r="B9" s="30" t="s">
        <v>261</v>
      </c>
      <c r="C9" s="30" t="s">
        <v>181</v>
      </c>
      <c r="D9" s="30" t="str">
        <f aca="false">INDEX('Sample Mapping'!$B$5:$B$42,MATCH(C9,'Sample Mapping'!$A$5:$A$42,0))</f>
        <v>U1009</v>
      </c>
      <c r="E9" s="36" t="n">
        <v>45936</v>
      </c>
      <c r="F9" s="37" t="n">
        <v>0.631944444444444</v>
      </c>
      <c r="G9" s="37" t="n">
        <v>0.642361111111111</v>
      </c>
      <c r="H9" s="30" t="str">
        <f aca="false">INDEX(Sessions!$B$5:$B$8,MATCH(A9,Sessions!$A$5:$A$8,0))</f>
        <v>1-Day Workshop</v>
      </c>
      <c r="I9" s="30" t="n">
        <f aca="false">E9-INDEX(Sessions!$D$5:$D$8,MATCH(A9,Sessions!$A$5:$A$8,0))+1</f>
        <v>1</v>
      </c>
      <c r="J9" s="30" t="n">
        <f aca="false">ROUND((G9-F9)*1440,0)</f>
        <v>15</v>
      </c>
      <c r="K9" s="30" t="n">
        <f aca="false">HOUR(F9)</f>
        <v>15</v>
      </c>
    </row>
    <row r="10" customFormat="false" ht="15" hidden="false" customHeight="false" outlineLevel="0" collapsed="false">
      <c r="A10" s="30" t="s">
        <v>157</v>
      </c>
      <c r="B10" s="30" t="s">
        <v>86</v>
      </c>
      <c r="C10" s="30" t="s">
        <v>199</v>
      </c>
      <c r="D10" s="30" t="str">
        <f aca="false">INDEX('Sample Mapping'!$B$5:$B$42,MATCH(C10,'Sample Mapping'!$A$5:$A$42,0))</f>
        <v>U1018</v>
      </c>
      <c r="E10" s="36" t="n">
        <v>45937</v>
      </c>
      <c r="F10" s="37" t="n">
        <v>0.4375</v>
      </c>
      <c r="G10" s="37" t="n">
        <v>0.465277777777778</v>
      </c>
      <c r="H10" s="30" t="str">
        <f aca="false">INDEX(Sessions!$B$5:$B$8,MATCH(A10,Sessions!$A$5:$A$8,0))</f>
        <v>2-Day Bootcamp</v>
      </c>
      <c r="I10" s="30" t="n">
        <f aca="false">E10-INDEX(Sessions!$D$5:$D$8,MATCH(A10,Sessions!$A$5:$A$8,0))+1</f>
        <v>1</v>
      </c>
      <c r="J10" s="30" t="n">
        <f aca="false">ROUND((G10-F10)*1440,0)</f>
        <v>40</v>
      </c>
      <c r="K10" s="30" t="n">
        <f aca="false">HOUR(F10)</f>
        <v>10</v>
      </c>
    </row>
    <row r="11" customFormat="false" ht="15" hidden="false" customHeight="false" outlineLevel="0" collapsed="false">
      <c r="A11" s="30" t="s">
        <v>157</v>
      </c>
      <c r="B11" s="30" t="s">
        <v>86</v>
      </c>
      <c r="C11" s="30" t="s">
        <v>199</v>
      </c>
      <c r="D11" s="30" t="str">
        <f aca="false">INDEX('Sample Mapping'!$B$5:$B$42,MATCH(C11,'Sample Mapping'!$A$5:$A$42,0))</f>
        <v>U1018</v>
      </c>
      <c r="E11" s="36" t="n">
        <v>45937</v>
      </c>
      <c r="F11" s="37" t="n">
        <v>0.618055555555556</v>
      </c>
      <c r="G11" s="37" t="n">
        <v>0.659722222222222</v>
      </c>
      <c r="H11" s="30" t="str">
        <f aca="false">INDEX(Sessions!$B$5:$B$8,MATCH(A11,Sessions!$A$5:$A$8,0))</f>
        <v>2-Day Bootcamp</v>
      </c>
      <c r="I11" s="30" t="n">
        <f aca="false">E11-INDEX(Sessions!$D$5:$D$8,MATCH(A11,Sessions!$A$5:$A$8,0))+1</f>
        <v>1</v>
      </c>
      <c r="J11" s="30" t="n">
        <f aca="false">ROUND((G11-F11)*1440,0)</f>
        <v>60</v>
      </c>
      <c r="K11" s="30" t="n">
        <f aca="false">HOUR(F11)</f>
        <v>14</v>
      </c>
    </row>
    <row r="12" customFormat="false" ht="15" hidden="false" customHeight="false" outlineLevel="0" collapsed="false">
      <c r="A12" s="30" t="s">
        <v>157</v>
      </c>
      <c r="B12" s="30" t="s">
        <v>265</v>
      </c>
      <c r="C12" s="30" t="s">
        <v>185</v>
      </c>
      <c r="D12" s="30" t="str">
        <f aca="false">INDEX('Sample Mapping'!$B$5:$B$42,MATCH(C12,'Sample Mapping'!$A$5:$A$42,0))</f>
        <v>U1011</v>
      </c>
      <c r="E12" s="36" t="n">
        <v>45938</v>
      </c>
      <c r="F12" s="37" t="n">
        <v>0.451388888888889</v>
      </c>
      <c r="G12" s="37" t="n">
        <v>0.503472222222222</v>
      </c>
      <c r="H12" s="30" t="str">
        <f aca="false">INDEX(Sessions!$B$5:$B$8,MATCH(A12,Sessions!$A$5:$A$8,0))</f>
        <v>2-Day Bootcamp</v>
      </c>
      <c r="I12" s="30" t="n">
        <f aca="false">E12-INDEX(Sessions!$D$5:$D$8,MATCH(A12,Sessions!$A$5:$A$8,0))+1</f>
        <v>2</v>
      </c>
      <c r="J12" s="30" t="n">
        <f aca="false">ROUND((G12-F12)*1440,0)</f>
        <v>75</v>
      </c>
      <c r="K12" s="30" t="n">
        <f aca="false">HOUR(F12)</f>
        <v>10</v>
      </c>
    </row>
    <row r="13" customFormat="false" ht="15" hidden="false" customHeight="false" outlineLevel="0" collapsed="false">
      <c r="A13" s="30" t="s">
        <v>157</v>
      </c>
      <c r="B13" s="30" t="s">
        <v>271</v>
      </c>
      <c r="C13" s="30" t="s">
        <v>191</v>
      </c>
      <c r="D13" s="30" t="str">
        <f aca="false">INDEX('Sample Mapping'!$B$5:$B$42,MATCH(C13,'Sample Mapping'!$A$5:$A$42,0))</f>
        <v>U1014</v>
      </c>
      <c r="E13" s="36" t="n">
        <v>45938</v>
      </c>
      <c r="F13" s="37" t="n">
        <v>0.559027777777778</v>
      </c>
      <c r="G13" s="37" t="n">
        <v>0.600694444444444</v>
      </c>
      <c r="H13" s="30" t="str">
        <f aca="false">INDEX(Sessions!$B$5:$B$8,MATCH(A13,Sessions!$A$5:$A$8,0))</f>
        <v>2-Day Bootcamp</v>
      </c>
      <c r="I13" s="30" t="n">
        <f aca="false">E13-INDEX(Sessions!$D$5:$D$8,MATCH(A13,Sessions!$A$5:$A$8,0))+1</f>
        <v>2</v>
      </c>
      <c r="J13" s="30" t="n">
        <f aca="false">ROUND((G13-F13)*1440,0)</f>
        <v>60</v>
      </c>
      <c r="K13" s="30" t="n">
        <f aca="false">HOUR(F13)</f>
        <v>13</v>
      </c>
    </row>
    <row r="14" customFormat="false" ht="15" hidden="false" customHeight="false" outlineLevel="0" collapsed="false">
      <c r="A14" s="30" t="s">
        <v>157</v>
      </c>
      <c r="B14" s="30" t="s">
        <v>86</v>
      </c>
      <c r="C14" s="30" t="s">
        <v>199</v>
      </c>
      <c r="D14" s="30" t="str">
        <f aca="false">INDEX('Sample Mapping'!$B$5:$B$42,MATCH(C14,'Sample Mapping'!$A$5:$A$42,0))</f>
        <v>U1018</v>
      </c>
      <c r="E14" s="36" t="n">
        <v>45938</v>
      </c>
      <c r="F14" s="37" t="n">
        <v>0.388888888888889</v>
      </c>
      <c r="G14" s="37" t="n">
        <v>0.402777777777778</v>
      </c>
      <c r="H14" s="30" t="str">
        <f aca="false">INDEX(Sessions!$B$5:$B$8,MATCH(A14,Sessions!$A$5:$A$8,0))</f>
        <v>2-Day Bootcamp</v>
      </c>
      <c r="I14" s="30" t="n">
        <f aca="false">E14-INDEX(Sessions!$D$5:$D$8,MATCH(A14,Sessions!$A$5:$A$8,0))+1</f>
        <v>2</v>
      </c>
      <c r="J14" s="30" t="n">
        <f aca="false">ROUND((G14-F14)*1440,0)</f>
        <v>20</v>
      </c>
      <c r="K14" s="30" t="n">
        <f aca="false">HOUR(F14)</f>
        <v>9</v>
      </c>
    </row>
    <row r="15" customFormat="false" ht="15" hidden="false" customHeight="false" outlineLevel="0" collapsed="false">
      <c r="A15" s="30" t="s">
        <v>158</v>
      </c>
      <c r="B15" s="30" t="s">
        <v>296</v>
      </c>
      <c r="C15" s="30" t="s">
        <v>215</v>
      </c>
      <c r="D15" s="30" t="str">
        <f aca="false">INDEX('Sample Mapping'!$B$5:$B$42,MATCH(C15,'Sample Mapping'!$A$5:$A$42,0))</f>
        <v>U1026</v>
      </c>
      <c r="E15" s="36" t="n">
        <v>45943</v>
      </c>
      <c r="F15" s="37" t="n">
        <v>0.583333333333333</v>
      </c>
      <c r="G15" s="37" t="n">
        <v>0.604166666666667</v>
      </c>
      <c r="H15" s="30" t="str">
        <f aca="false">INDEX(Sessions!$B$5:$B$8,MATCH(A15,Sessions!$A$5:$A$8,0))</f>
        <v>4-Day Program</v>
      </c>
      <c r="I15" s="30" t="n">
        <f aca="false">E15-INDEX(Sessions!$D$5:$D$8,MATCH(A15,Sessions!$A$5:$A$8,0))+1</f>
        <v>1</v>
      </c>
      <c r="J15" s="30" t="n">
        <f aca="false">ROUND((G15-F15)*1440,0)</f>
        <v>30</v>
      </c>
      <c r="K15" s="30" t="n">
        <f aca="false">HOUR(F15)</f>
        <v>14</v>
      </c>
    </row>
    <row r="16" customFormat="false" ht="15" hidden="false" customHeight="false" outlineLevel="0" collapsed="false">
      <c r="A16" s="30" t="s">
        <v>158</v>
      </c>
      <c r="B16" s="30" t="s">
        <v>89</v>
      </c>
      <c r="C16" s="30" t="s">
        <v>221</v>
      </c>
      <c r="D16" s="30" t="str">
        <f aca="false">INDEX('Sample Mapping'!$B$5:$B$42,MATCH(C16,'Sample Mapping'!$A$5:$A$42,0))</f>
        <v>U1029</v>
      </c>
      <c r="E16" s="36" t="n">
        <v>45943</v>
      </c>
      <c r="F16" s="37" t="n">
        <v>0.548611111111111</v>
      </c>
      <c r="G16" s="37" t="n">
        <v>0.579861111111111</v>
      </c>
      <c r="H16" s="30" t="str">
        <f aca="false">INDEX(Sessions!$B$5:$B$8,MATCH(A16,Sessions!$A$5:$A$8,0))</f>
        <v>4-Day Program</v>
      </c>
      <c r="I16" s="30" t="n">
        <f aca="false">E16-INDEX(Sessions!$D$5:$D$8,MATCH(A16,Sessions!$A$5:$A$8,0))+1</f>
        <v>1</v>
      </c>
      <c r="J16" s="30" t="n">
        <f aca="false">ROUND((G16-F16)*1440,0)</f>
        <v>45</v>
      </c>
      <c r="K16" s="30" t="n">
        <f aca="false">HOUR(F16)</f>
        <v>13</v>
      </c>
    </row>
    <row r="17" customFormat="false" ht="15" hidden="false" customHeight="false" outlineLevel="0" collapsed="false">
      <c r="A17" s="30" t="s">
        <v>158</v>
      </c>
      <c r="B17" s="30" t="s">
        <v>89</v>
      </c>
      <c r="C17" s="30" t="s">
        <v>221</v>
      </c>
      <c r="D17" s="30" t="str">
        <f aca="false">INDEX('Sample Mapping'!$B$5:$B$42,MATCH(C17,'Sample Mapping'!$A$5:$A$42,0))</f>
        <v>U1029</v>
      </c>
      <c r="E17" s="36" t="n">
        <v>45943</v>
      </c>
      <c r="F17" s="37" t="n">
        <v>0.663194444444444</v>
      </c>
      <c r="G17" s="37" t="n">
        <v>0.680555555555556</v>
      </c>
      <c r="H17" s="30" t="str">
        <f aca="false">INDEX(Sessions!$B$5:$B$8,MATCH(A17,Sessions!$A$5:$A$8,0))</f>
        <v>4-Day Program</v>
      </c>
      <c r="I17" s="30" t="n">
        <f aca="false">E17-INDEX(Sessions!$D$5:$D$8,MATCH(A17,Sessions!$A$5:$A$8,0))+1</f>
        <v>1</v>
      </c>
      <c r="J17" s="30" t="n">
        <f aca="false">ROUND((G17-F17)*1440,0)</f>
        <v>25</v>
      </c>
      <c r="K17" s="30" t="n">
        <f aca="false">HOUR(F17)</f>
        <v>15</v>
      </c>
    </row>
    <row r="18" customFormat="false" ht="15" hidden="false" customHeight="false" outlineLevel="0" collapsed="false">
      <c r="A18" s="30" t="s">
        <v>158</v>
      </c>
      <c r="B18" s="30" t="s">
        <v>286</v>
      </c>
      <c r="C18" s="30" t="s">
        <v>203</v>
      </c>
      <c r="D18" s="30" t="str">
        <f aca="false">INDEX('Sample Mapping'!$B$5:$B$42,MATCH(C18,'Sample Mapping'!$A$5:$A$42,0))</f>
        <v>U1020</v>
      </c>
      <c r="E18" s="36" t="n">
        <v>45943</v>
      </c>
      <c r="F18" s="37" t="n">
        <v>0.423611111111111</v>
      </c>
      <c r="G18" s="37" t="n">
        <v>0.454861111111111</v>
      </c>
      <c r="H18" s="30" t="str">
        <f aca="false">INDEX(Sessions!$B$5:$B$8,MATCH(A18,Sessions!$A$5:$A$8,0))</f>
        <v>4-Day Program</v>
      </c>
      <c r="I18" s="30" t="n">
        <f aca="false">E18-INDEX(Sessions!$D$5:$D$8,MATCH(A18,Sessions!$A$5:$A$8,0))+1</f>
        <v>1</v>
      </c>
      <c r="J18" s="30" t="n">
        <f aca="false">ROUND((G18-F18)*1440,0)</f>
        <v>45</v>
      </c>
      <c r="K18" s="30" t="n">
        <f aca="false">HOUR(F18)</f>
        <v>10</v>
      </c>
    </row>
    <row r="19" customFormat="false" ht="15" hidden="false" customHeight="false" outlineLevel="0" collapsed="false">
      <c r="A19" s="30" t="s">
        <v>158</v>
      </c>
      <c r="B19" s="30" t="s">
        <v>291</v>
      </c>
      <c r="C19" s="30" t="s">
        <v>209</v>
      </c>
      <c r="D19" s="30" t="str">
        <f aca="false">INDEX('Sample Mapping'!$B$5:$B$42,MATCH(C19,'Sample Mapping'!$A$5:$A$42,0))</f>
        <v>U1023</v>
      </c>
      <c r="E19" s="36" t="n">
        <v>45943</v>
      </c>
      <c r="F19" s="37" t="n">
        <v>0.40625</v>
      </c>
      <c r="G19" s="37" t="n">
        <v>0.420138888888889</v>
      </c>
      <c r="H19" s="30" t="str">
        <f aca="false">INDEX(Sessions!$B$5:$B$8,MATCH(A19,Sessions!$A$5:$A$8,0))</f>
        <v>4-Day Program</v>
      </c>
      <c r="I19" s="30" t="n">
        <f aca="false">E19-INDEX(Sessions!$D$5:$D$8,MATCH(A19,Sessions!$A$5:$A$8,0))+1</f>
        <v>1</v>
      </c>
      <c r="J19" s="30" t="n">
        <f aca="false">ROUND((G19-F19)*1440,0)</f>
        <v>20</v>
      </c>
      <c r="K19" s="30" t="n">
        <f aca="false">HOUR(F19)</f>
        <v>9</v>
      </c>
    </row>
    <row r="20" customFormat="false" ht="15" hidden="false" customHeight="false" outlineLevel="0" collapsed="false">
      <c r="A20" s="30" t="s">
        <v>158</v>
      </c>
      <c r="B20" s="30" t="s">
        <v>291</v>
      </c>
      <c r="C20" s="30" t="s">
        <v>209</v>
      </c>
      <c r="D20" s="30" t="str">
        <f aca="false">INDEX('Sample Mapping'!$B$5:$B$42,MATCH(C20,'Sample Mapping'!$A$5:$A$42,0))</f>
        <v>U1023</v>
      </c>
      <c r="E20" s="36" t="n">
        <v>45943</v>
      </c>
      <c r="F20" s="37" t="n">
        <v>0.559027777777778</v>
      </c>
      <c r="G20" s="37" t="n">
        <v>0.565972222222222</v>
      </c>
      <c r="H20" s="30" t="str">
        <f aca="false">INDEX(Sessions!$B$5:$B$8,MATCH(A20,Sessions!$A$5:$A$8,0))</f>
        <v>4-Day Program</v>
      </c>
      <c r="I20" s="30" t="n">
        <f aca="false">E20-INDEX(Sessions!$D$5:$D$8,MATCH(A20,Sessions!$A$5:$A$8,0))+1</f>
        <v>1</v>
      </c>
      <c r="J20" s="30" t="n">
        <f aca="false">ROUND((G20-F20)*1440,0)</f>
        <v>10</v>
      </c>
      <c r="K20" s="30" t="n">
        <f aca="false">HOUR(F20)</f>
        <v>13</v>
      </c>
    </row>
    <row r="21" customFormat="false" ht="15" hidden="false" customHeight="false" outlineLevel="0" collapsed="false">
      <c r="A21" s="30" t="s">
        <v>158</v>
      </c>
      <c r="B21" s="30" t="s">
        <v>288</v>
      </c>
      <c r="C21" s="30" t="s">
        <v>205</v>
      </c>
      <c r="D21" s="30" t="str">
        <f aca="false">INDEX('Sample Mapping'!$B$5:$B$42,MATCH(C21,'Sample Mapping'!$A$5:$A$42,0))</f>
        <v>U1021</v>
      </c>
      <c r="E21" s="36" t="n">
        <v>45944</v>
      </c>
      <c r="F21" s="37" t="n">
        <v>0.402777777777778</v>
      </c>
      <c r="G21" s="37" t="n">
        <v>0.430555555555556</v>
      </c>
      <c r="H21" s="30" t="str">
        <f aca="false">INDEX(Sessions!$B$5:$B$8,MATCH(A21,Sessions!$A$5:$A$8,0))</f>
        <v>4-Day Program</v>
      </c>
      <c r="I21" s="30" t="n">
        <f aca="false">E21-INDEX(Sessions!$D$5:$D$8,MATCH(A21,Sessions!$A$5:$A$8,0))+1</f>
        <v>2</v>
      </c>
      <c r="J21" s="30" t="n">
        <f aca="false">ROUND((G21-F21)*1440,0)</f>
        <v>40</v>
      </c>
      <c r="K21" s="30" t="n">
        <f aca="false">HOUR(F21)</f>
        <v>9</v>
      </c>
    </row>
    <row r="22" customFormat="false" ht="15" hidden="false" customHeight="false" outlineLevel="0" collapsed="false">
      <c r="A22" s="30" t="s">
        <v>158</v>
      </c>
      <c r="B22" s="30" t="s">
        <v>83</v>
      </c>
      <c r="C22" s="30" t="s">
        <v>213</v>
      </c>
      <c r="D22" s="30" t="str">
        <f aca="false">INDEX('Sample Mapping'!$B$5:$B$42,MATCH(C22,'Sample Mapping'!$A$5:$A$42,0))</f>
        <v>U1025</v>
      </c>
      <c r="E22" s="36" t="n">
        <v>45945</v>
      </c>
      <c r="F22" s="37" t="n">
        <v>0.496527777777778</v>
      </c>
      <c r="G22" s="37" t="n">
        <v>0.548611111111111</v>
      </c>
      <c r="H22" s="30" t="str">
        <f aca="false">INDEX(Sessions!$B$5:$B$8,MATCH(A22,Sessions!$A$5:$A$8,0))</f>
        <v>4-Day Program</v>
      </c>
      <c r="I22" s="30" t="n">
        <f aca="false">E22-INDEX(Sessions!$D$5:$D$8,MATCH(A22,Sessions!$A$5:$A$8,0))+1</f>
        <v>3</v>
      </c>
      <c r="J22" s="30" t="n">
        <f aca="false">ROUND((G22-F22)*1440,0)</f>
        <v>75</v>
      </c>
      <c r="K22" s="30" t="n">
        <f aca="false">HOUR(F22)</f>
        <v>11</v>
      </c>
    </row>
    <row r="23" customFormat="false" ht="15" hidden="false" customHeight="false" outlineLevel="0" collapsed="false">
      <c r="A23" s="30" t="s">
        <v>158</v>
      </c>
      <c r="B23" s="30" t="s">
        <v>83</v>
      </c>
      <c r="C23" s="30" t="s">
        <v>213</v>
      </c>
      <c r="D23" s="30" t="str">
        <f aca="false">INDEX('Sample Mapping'!$B$5:$B$42,MATCH(C23,'Sample Mapping'!$A$5:$A$42,0))</f>
        <v>U1025</v>
      </c>
      <c r="E23" s="36" t="n">
        <v>45945</v>
      </c>
      <c r="F23" s="37" t="n">
        <v>0.548611111111111</v>
      </c>
      <c r="G23" s="37" t="n">
        <v>0.576388888888889</v>
      </c>
      <c r="H23" s="30" t="str">
        <f aca="false">INDEX(Sessions!$B$5:$B$8,MATCH(A23,Sessions!$A$5:$A$8,0))</f>
        <v>4-Day Program</v>
      </c>
      <c r="I23" s="30" t="n">
        <f aca="false">E23-INDEX(Sessions!$D$5:$D$8,MATCH(A23,Sessions!$A$5:$A$8,0))+1</f>
        <v>3</v>
      </c>
      <c r="J23" s="30" t="n">
        <f aca="false">ROUND((G23-F23)*1440,0)</f>
        <v>40</v>
      </c>
      <c r="K23" s="30" t="n">
        <f aca="false">HOUR(F23)</f>
        <v>13</v>
      </c>
    </row>
    <row r="24" customFormat="false" ht="15" hidden="false" customHeight="false" outlineLevel="0" collapsed="false">
      <c r="A24" s="30" t="s">
        <v>158</v>
      </c>
      <c r="B24" s="30" t="s">
        <v>83</v>
      </c>
      <c r="C24" s="30" t="s">
        <v>213</v>
      </c>
      <c r="D24" s="30" t="str">
        <f aca="false">INDEX('Sample Mapping'!$B$5:$B$42,MATCH(C24,'Sample Mapping'!$A$5:$A$42,0))</f>
        <v>U1025</v>
      </c>
      <c r="E24" s="36" t="n">
        <v>45945</v>
      </c>
      <c r="F24" s="37" t="n">
        <v>0.652777777777778</v>
      </c>
      <c r="G24" s="37" t="n">
        <v>0.673611111111111</v>
      </c>
      <c r="H24" s="30" t="str">
        <f aca="false">INDEX(Sessions!$B$5:$B$8,MATCH(A24,Sessions!$A$5:$A$8,0))</f>
        <v>4-Day Program</v>
      </c>
      <c r="I24" s="30" t="n">
        <f aca="false">E24-INDEX(Sessions!$D$5:$D$8,MATCH(A24,Sessions!$A$5:$A$8,0))+1</f>
        <v>3</v>
      </c>
      <c r="J24" s="30" t="n">
        <f aca="false">ROUND((G24-F24)*1440,0)</f>
        <v>30</v>
      </c>
      <c r="K24" s="30" t="n">
        <f aca="false">HOUR(F24)</f>
        <v>15</v>
      </c>
    </row>
    <row r="25" customFormat="false" ht="15" hidden="false" customHeight="false" outlineLevel="0" collapsed="false">
      <c r="A25" s="30" t="s">
        <v>158</v>
      </c>
      <c r="B25" s="30" t="s">
        <v>84</v>
      </c>
      <c r="C25" s="30" t="s">
        <v>207</v>
      </c>
      <c r="D25" s="30" t="str">
        <f aca="false">INDEX('Sample Mapping'!$B$5:$B$42,MATCH(C25,'Sample Mapping'!$A$5:$A$42,0))</f>
        <v>U1022</v>
      </c>
      <c r="E25" s="36" t="n">
        <v>45945</v>
      </c>
      <c r="F25" s="37" t="n">
        <v>0.409722222222222</v>
      </c>
      <c r="G25" s="37" t="n">
        <v>0.440972222222222</v>
      </c>
      <c r="H25" s="30" t="str">
        <f aca="false">INDEX(Sessions!$B$5:$B$8,MATCH(A25,Sessions!$A$5:$A$8,0))</f>
        <v>4-Day Program</v>
      </c>
      <c r="I25" s="30" t="n">
        <f aca="false">E25-INDEX(Sessions!$D$5:$D$8,MATCH(A25,Sessions!$A$5:$A$8,0))+1</f>
        <v>3</v>
      </c>
      <c r="J25" s="30" t="n">
        <f aca="false">ROUND((G25-F25)*1440,0)</f>
        <v>45</v>
      </c>
      <c r="K25" s="30" t="n">
        <f aca="false">HOUR(F25)</f>
        <v>9</v>
      </c>
    </row>
    <row r="26" customFormat="false" ht="15" hidden="false" customHeight="false" outlineLevel="0" collapsed="false">
      <c r="A26" s="30" t="s">
        <v>158</v>
      </c>
      <c r="B26" s="30" t="s">
        <v>84</v>
      </c>
      <c r="C26" s="30" t="s">
        <v>207</v>
      </c>
      <c r="D26" s="30" t="str">
        <f aca="false">INDEX('Sample Mapping'!$B$5:$B$42,MATCH(C26,'Sample Mapping'!$A$5:$A$42,0))</f>
        <v>U1022</v>
      </c>
      <c r="E26" s="36" t="n">
        <v>45945</v>
      </c>
      <c r="F26" s="37" t="n">
        <v>0.479166666666667</v>
      </c>
      <c r="G26" s="37" t="n">
        <v>0.510416666666667</v>
      </c>
      <c r="H26" s="30" t="str">
        <f aca="false">INDEX(Sessions!$B$5:$B$8,MATCH(A26,Sessions!$A$5:$A$8,0))</f>
        <v>4-Day Program</v>
      </c>
      <c r="I26" s="30" t="n">
        <f aca="false">E26-INDEX(Sessions!$D$5:$D$8,MATCH(A26,Sessions!$A$5:$A$8,0))+1</f>
        <v>3</v>
      </c>
      <c r="J26" s="30" t="n">
        <f aca="false">ROUND((G26-F26)*1440,0)</f>
        <v>45</v>
      </c>
      <c r="K26" s="30" t="n">
        <f aca="false">HOUR(F26)</f>
        <v>11</v>
      </c>
    </row>
    <row r="27" customFormat="false" ht="15" hidden="false" customHeight="false" outlineLevel="0" collapsed="false">
      <c r="A27" s="30" t="s">
        <v>158</v>
      </c>
      <c r="B27" s="30" t="s">
        <v>84</v>
      </c>
      <c r="C27" s="30" t="s">
        <v>207</v>
      </c>
      <c r="D27" s="30" t="str">
        <f aca="false">INDEX('Sample Mapping'!$B$5:$B$42,MATCH(C27,'Sample Mapping'!$A$5:$A$42,0))</f>
        <v>U1022</v>
      </c>
      <c r="E27" s="36" t="n">
        <v>45945</v>
      </c>
      <c r="F27" s="37" t="n">
        <v>0.618055555555556</v>
      </c>
      <c r="G27" s="37" t="n">
        <v>0.670138888888889</v>
      </c>
      <c r="H27" s="30" t="str">
        <f aca="false">INDEX(Sessions!$B$5:$B$8,MATCH(A27,Sessions!$A$5:$A$8,0))</f>
        <v>4-Day Program</v>
      </c>
      <c r="I27" s="30" t="n">
        <f aca="false">E27-INDEX(Sessions!$D$5:$D$8,MATCH(A27,Sessions!$A$5:$A$8,0))+1</f>
        <v>3</v>
      </c>
      <c r="J27" s="30" t="n">
        <f aca="false">ROUND((G27-F27)*1440,0)</f>
        <v>75</v>
      </c>
      <c r="K27" s="30" t="n">
        <f aca="false">HOUR(F27)</f>
        <v>14</v>
      </c>
    </row>
    <row r="28" customFormat="false" ht="15" hidden="false" customHeight="false" outlineLevel="0" collapsed="false">
      <c r="A28" s="30" t="s">
        <v>158</v>
      </c>
      <c r="B28" s="30" t="s">
        <v>293</v>
      </c>
      <c r="C28" s="30" t="s">
        <v>211</v>
      </c>
      <c r="D28" s="30" t="str">
        <f aca="false">INDEX('Sample Mapping'!$B$5:$B$42,MATCH(C28,'Sample Mapping'!$A$5:$A$42,0))</f>
        <v>U1024</v>
      </c>
      <c r="E28" s="36" t="n">
        <v>45945</v>
      </c>
      <c r="F28" s="37" t="n">
        <v>0.465277777777778</v>
      </c>
      <c r="G28" s="37" t="n">
        <v>0.475694444444444</v>
      </c>
      <c r="H28" s="30" t="str">
        <f aca="false">INDEX(Sessions!$B$5:$B$8,MATCH(A28,Sessions!$A$5:$A$8,0))</f>
        <v>4-Day Program</v>
      </c>
      <c r="I28" s="30" t="n">
        <f aca="false">E28-INDEX(Sessions!$D$5:$D$8,MATCH(A28,Sessions!$A$5:$A$8,0))+1</f>
        <v>3</v>
      </c>
      <c r="J28" s="30" t="n">
        <f aca="false">ROUND((G28-F28)*1440,0)</f>
        <v>15</v>
      </c>
      <c r="K28" s="30" t="n">
        <f aca="false">HOUR(F28)</f>
        <v>11</v>
      </c>
    </row>
    <row r="29" customFormat="false" ht="15" hidden="false" customHeight="false" outlineLevel="0" collapsed="false">
      <c r="A29" s="30" t="s">
        <v>158</v>
      </c>
      <c r="B29" s="30" t="s">
        <v>83</v>
      </c>
      <c r="C29" s="30" t="s">
        <v>213</v>
      </c>
      <c r="D29" s="30" t="str">
        <f aca="false">INDEX('Sample Mapping'!$B$5:$B$42,MATCH(C29,'Sample Mapping'!$A$5:$A$42,0))</f>
        <v>U1025</v>
      </c>
      <c r="E29" s="36" t="n">
        <v>45946</v>
      </c>
      <c r="F29" s="37" t="n">
        <v>0.635416666666667</v>
      </c>
      <c r="G29" s="37" t="n">
        <v>0.652777777777778</v>
      </c>
      <c r="H29" s="30" t="str">
        <f aca="false">INDEX(Sessions!$B$5:$B$8,MATCH(A29,Sessions!$A$5:$A$8,0))</f>
        <v>4-Day Program</v>
      </c>
      <c r="I29" s="30" t="n">
        <f aca="false">E29-INDEX(Sessions!$D$5:$D$8,MATCH(A29,Sessions!$A$5:$A$8,0))+1</f>
        <v>4</v>
      </c>
      <c r="J29" s="30" t="n">
        <f aca="false">ROUND((G29-F29)*1440,0)</f>
        <v>25</v>
      </c>
      <c r="K29" s="30" t="n">
        <f aca="false">HOUR(F29)</f>
        <v>15</v>
      </c>
    </row>
    <row r="30" customFormat="false" ht="15" hidden="false" customHeight="false" outlineLevel="0" collapsed="false">
      <c r="A30" s="30" t="s">
        <v>158</v>
      </c>
      <c r="B30" s="30" t="s">
        <v>298</v>
      </c>
      <c r="C30" s="30" t="s">
        <v>217</v>
      </c>
      <c r="D30" s="30" t="str">
        <f aca="false">INDEX('Sample Mapping'!$B$5:$B$42,MATCH(C30,'Sample Mapping'!$A$5:$A$42,0))</f>
        <v>U1027</v>
      </c>
      <c r="E30" s="36" t="n">
        <v>45946</v>
      </c>
      <c r="F30" s="37" t="n">
        <v>0.427083333333333</v>
      </c>
      <c r="G30" s="37" t="n">
        <v>0.46875</v>
      </c>
      <c r="H30" s="30" t="str">
        <f aca="false">INDEX(Sessions!$B$5:$B$8,MATCH(A30,Sessions!$A$5:$A$8,0))</f>
        <v>4-Day Program</v>
      </c>
      <c r="I30" s="30" t="n">
        <f aca="false">E30-INDEX(Sessions!$D$5:$D$8,MATCH(A30,Sessions!$A$5:$A$8,0))+1</f>
        <v>4</v>
      </c>
      <c r="J30" s="30" t="n">
        <f aca="false">ROUND((G30-F30)*1440,0)</f>
        <v>60</v>
      </c>
      <c r="K30" s="30" t="n">
        <f aca="false">HOUR(F30)</f>
        <v>10</v>
      </c>
    </row>
    <row r="31" customFormat="false" ht="15" hidden="false" customHeight="false" outlineLevel="0" collapsed="false">
      <c r="A31" s="30" t="s">
        <v>158</v>
      </c>
      <c r="B31" s="30" t="s">
        <v>89</v>
      </c>
      <c r="C31" s="30" t="s">
        <v>221</v>
      </c>
      <c r="D31" s="30" t="str">
        <f aca="false">INDEX('Sample Mapping'!$B$5:$B$42,MATCH(C31,'Sample Mapping'!$A$5:$A$42,0))</f>
        <v>U1029</v>
      </c>
      <c r="E31" s="36" t="n">
        <v>45946</v>
      </c>
      <c r="F31" s="37" t="n">
        <v>0.666666666666667</v>
      </c>
      <c r="G31" s="37" t="n">
        <v>0.680555555555556</v>
      </c>
      <c r="H31" s="30" t="str">
        <f aca="false">INDEX(Sessions!$B$5:$B$8,MATCH(A31,Sessions!$A$5:$A$8,0))</f>
        <v>4-Day Program</v>
      </c>
      <c r="I31" s="30" t="n">
        <f aca="false">E31-INDEX(Sessions!$D$5:$D$8,MATCH(A31,Sessions!$A$5:$A$8,0))+1</f>
        <v>4</v>
      </c>
      <c r="J31" s="30" t="n">
        <f aca="false">ROUND((G31-F31)*1440,0)</f>
        <v>20</v>
      </c>
      <c r="K31" s="30" t="n">
        <f aca="false">HOUR(F31)</f>
        <v>16</v>
      </c>
    </row>
    <row r="32" customFormat="false" ht="15" hidden="false" customHeight="false" outlineLevel="0" collapsed="false">
      <c r="A32" s="30" t="s">
        <v>158</v>
      </c>
      <c r="B32" s="30" t="s">
        <v>286</v>
      </c>
      <c r="C32" s="30" t="s">
        <v>203</v>
      </c>
      <c r="D32" s="30" t="str">
        <f aca="false">INDEX('Sample Mapping'!$B$5:$B$42,MATCH(C32,'Sample Mapping'!$A$5:$A$42,0))</f>
        <v>U1020</v>
      </c>
      <c r="E32" s="36" t="n">
        <v>45946</v>
      </c>
      <c r="F32" s="37" t="n">
        <v>0.381944444444444</v>
      </c>
      <c r="G32" s="37" t="n">
        <v>0.399305555555556</v>
      </c>
      <c r="H32" s="30" t="str">
        <f aca="false">INDEX(Sessions!$B$5:$B$8,MATCH(A32,Sessions!$A$5:$A$8,0))</f>
        <v>4-Day Program</v>
      </c>
      <c r="I32" s="30" t="n">
        <f aca="false">E32-INDEX(Sessions!$D$5:$D$8,MATCH(A32,Sessions!$A$5:$A$8,0))+1</f>
        <v>4</v>
      </c>
      <c r="J32" s="30" t="n">
        <f aca="false">ROUND((G32-F32)*1440,0)</f>
        <v>25</v>
      </c>
      <c r="K32" s="30" t="n">
        <f aca="false">HOUR(F32)</f>
        <v>9</v>
      </c>
    </row>
    <row r="33" customFormat="false" ht="15" hidden="false" customHeight="false" outlineLevel="0" collapsed="false">
      <c r="A33" s="30" t="s">
        <v>159</v>
      </c>
      <c r="B33" s="30" t="s">
        <v>82</v>
      </c>
      <c r="C33" s="30" t="s">
        <v>223</v>
      </c>
      <c r="D33" s="30" t="str">
        <f aca="false">INDEX('Sample Mapping'!$B$5:$B$42,MATCH(C33,'Sample Mapping'!$A$5:$A$42,0))</f>
        <v>U1030</v>
      </c>
      <c r="E33" s="36" t="n">
        <v>45950</v>
      </c>
      <c r="F33" s="37" t="n">
        <v>0.402777777777778</v>
      </c>
      <c r="G33" s="37" t="n">
        <v>0.416666666666667</v>
      </c>
      <c r="H33" s="30" t="str">
        <f aca="false">INDEX(Sessions!$B$5:$B$8,MATCH(A33,Sessions!$A$5:$A$8,0))</f>
        <v>5-Day Academy</v>
      </c>
      <c r="I33" s="30" t="n">
        <f aca="false">E33-INDEX(Sessions!$D$5:$D$8,MATCH(A33,Sessions!$A$5:$A$8,0))+1</f>
        <v>1</v>
      </c>
      <c r="J33" s="30" t="n">
        <f aca="false">ROUND((G33-F33)*1440,0)</f>
        <v>20</v>
      </c>
      <c r="K33" s="30" t="n">
        <f aca="false">HOUR(F33)</f>
        <v>9</v>
      </c>
    </row>
    <row r="34" customFormat="false" ht="15" hidden="false" customHeight="false" outlineLevel="0" collapsed="false">
      <c r="A34" s="30" t="s">
        <v>159</v>
      </c>
      <c r="B34" s="30" t="s">
        <v>82</v>
      </c>
      <c r="C34" s="30" t="s">
        <v>223</v>
      </c>
      <c r="D34" s="30" t="str">
        <f aca="false">INDEX('Sample Mapping'!$B$5:$B$42,MATCH(C34,'Sample Mapping'!$A$5:$A$42,0))</f>
        <v>U1030</v>
      </c>
      <c r="E34" s="36" t="n">
        <v>45950</v>
      </c>
      <c r="F34" s="37" t="n">
        <v>0.548611111111111</v>
      </c>
      <c r="G34" s="37" t="n">
        <v>0.579861111111111</v>
      </c>
      <c r="H34" s="30" t="str">
        <f aca="false">INDEX(Sessions!$B$5:$B$8,MATCH(A34,Sessions!$A$5:$A$8,0))</f>
        <v>5-Day Academy</v>
      </c>
      <c r="I34" s="30" t="n">
        <f aca="false">E34-INDEX(Sessions!$D$5:$D$8,MATCH(A34,Sessions!$A$5:$A$8,0))+1</f>
        <v>1</v>
      </c>
      <c r="J34" s="30" t="n">
        <f aca="false">ROUND((G34-F34)*1440,0)</f>
        <v>45</v>
      </c>
      <c r="K34" s="30" t="n">
        <f aca="false">HOUR(F34)</f>
        <v>13</v>
      </c>
    </row>
    <row r="35" customFormat="false" ht="15" hidden="false" customHeight="false" outlineLevel="0" collapsed="false">
      <c r="A35" s="30" t="s">
        <v>159</v>
      </c>
      <c r="B35" s="30" t="s">
        <v>304</v>
      </c>
      <c r="C35" s="30" t="s">
        <v>225</v>
      </c>
      <c r="D35" s="30" t="str">
        <f aca="false">INDEX('Sample Mapping'!$B$5:$B$42,MATCH(C35,'Sample Mapping'!$A$5:$A$42,0))</f>
        <v>U1031</v>
      </c>
      <c r="E35" s="36" t="n">
        <v>45950</v>
      </c>
      <c r="F35" s="37" t="n">
        <v>0.545138888888889</v>
      </c>
      <c r="G35" s="37" t="n">
        <v>0.597222222222222</v>
      </c>
      <c r="H35" s="30" t="str">
        <f aca="false">INDEX(Sessions!$B$5:$B$8,MATCH(A35,Sessions!$A$5:$A$8,0))</f>
        <v>5-Day Academy</v>
      </c>
      <c r="I35" s="30" t="n">
        <f aca="false">E35-INDEX(Sessions!$D$5:$D$8,MATCH(A35,Sessions!$A$5:$A$8,0))+1</f>
        <v>1</v>
      </c>
      <c r="J35" s="30" t="n">
        <f aca="false">ROUND((G35-F35)*1440,0)</f>
        <v>75</v>
      </c>
      <c r="K35" s="30" t="n">
        <f aca="false">HOUR(F35)</f>
        <v>13</v>
      </c>
    </row>
    <row r="36" customFormat="false" ht="15" hidden="false" customHeight="false" outlineLevel="0" collapsed="false">
      <c r="A36" s="30" t="s">
        <v>159</v>
      </c>
      <c r="B36" s="30" t="s">
        <v>306</v>
      </c>
      <c r="C36" s="30" t="s">
        <v>227</v>
      </c>
      <c r="D36" s="30" t="str">
        <f aca="false">INDEX('Sample Mapping'!$B$5:$B$42,MATCH(C36,'Sample Mapping'!$A$5:$A$42,0))</f>
        <v>U1032</v>
      </c>
      <c r="E36" s="36" t="n">
        <v>45950</v>
      </c>
      <c r="F36" s="37" t="n">
        <v>0.378472222222222</v>
      </c>
      <c r="G36" s="37" t="n">
        <v>0.430555555555556</v>
      </c>
      <c r="H36" s="30" t="str">
        <f aca="false">INDEX(Sessions!$B$5:$B$8,MATCH(A36,Sessions!$A$5:$A$8,0))</f>
        <v>5-Day Academy</v>
      </c>
      <c r="I36" s="30" t="n">
        <f aca="false">E36-INDEX(Sessions!$D$5:$D$8,MATCH(A36,Sessions!$A$5:$A$8,0))+1</f>
        <v>1</v>
      </c>
      <c r="J36" s="30" t="n">
        <f aca="false">ROUND((G36-F36)*1440,0)</f>
        <v>75</v>
      </c>
      <c r="K36" s="30" t="n">
        <f aca="false">HOUR(F36)</f>
        <v>9</v>
      </c>
    </row>
    <row r="37" customFormat="false" ht="15" hidden="false" customHeight="false" outlineLevel="0" collapsed="false">
      <c r="A37" s="30" t="s">
        <v>159</v>
      </c>
      <c r="B37" s="30" t="s">
        <v>82</v>
      </c>
      <c r="C37" s="30" t="s">
        <v>223</v>
      </c>
      <c r="D37" s="30" t="str">
        <f aca="false">INDEX('Sample Mapping'!$B$5:$B$42,MATCH(C37,'Sample Mapping'!$A$5:$A$42,0))</f>
        <v>U1030</v>
      </c>
      <c r="E37" s="36" t="n">
        <v>45951</v>
      </c>
      <c r="F37" s="37" t="n">
        <v>0.572916666666667</v>
      </c>
      <c r="G37" s="37" t="n">
        <v>0.600694444444444</v>
      </c>
      <c r="H37" s="30" t="str">
        <f aca="false">INDEX(Sessions!$B$5:$B$8,MATCH(A37,Sessions!$A$5:$A$8,0))</f>
        <v>5-Day Academy</v>
      </c>
      <c r="I37" s="30" t="n">
        <f aca="false">E37-INDEX(Sessions!$D$5:$D$8,MATCH(A37,Sessions!$A$5:$A$8,0))+1</f>
        <v>2</v>
      </c>
      <c r="J37" s="30" t="n">
        <f aca="false">ROUND((G37-F37)*1440,0)</f>
        <v>40</v>
      </c>
      <c r="K37" s="30" t="n">
        <f aca="false">HOUR(F37)</f>
        <v>13</v>
      </c>
    </row>
    <row r="38" customFormat="false" ht="15" hidden="false" customHeight="false" outlineLevel="0" collapsed="false">
      <c r="A38" s="30" t="s">
        <v>159</v>
      </c>
      <c r="B38" s="30" t="s">
        <v>80</v>
      </c>
      <c r="C38" s="30" t="s">
        <v>231</v>
      </c>
      <c r="D38" s="30" t="str">
        <f aca="false">INDEX('Sample Mapping'!$B$5:$B$42,MATCH(C38,'Sample Mapping'!$A$5:$A$42,0))</f>
        <v>U1034</v>
      </c>
      <c r="E38" s="36" t="n">
        <v>45951</v>
      </c>
      <c r="F38" s="37" t="n">
        <v>0.482638888888889</v>
      </c>
      <c r="G38" s="37" t="n">
        <v>0.496527777777778</v>
      </c>
      <c r="H38" s="30" t="str">
        <f aca="false">INDEX(Sessions!$B$5:$B$8,MATCH(A38,Sessions!$A$5:$A$8,0))</f>
        <v>5-Day Academy</v>
      </c>
      <c r="I38" s="30" t="n">
        <f aca="false">E38-INDEX(Sessions!$D$5:$D$8,MATCH(A38,Sessions!$A$5:$A$8,0))+1</f>
        <v>2</v>
      </c>
      <c r="J38" s="30" t="n">
        <f aca="false">ROUND((G38-F38)*1440,0)</f>
        <v>20</v>
      </c>
      <c r="K38" s="30" t="n">
        <f aca="false">HOUR(F38)</f>
        <v>11</v>
      </c>
    </row>
    <row r="39" customFormat="false" ht="15" hidden="false" customHeight="false" outlineLevel="0" collapsed="false">
      <c r="A39" s="30" t="s">
        <v>159</v>
      </c>
      <c r="B39" s="30" t="s">
        <v>80</v>
      </c>
      <c r="C39" s="30" t="s">
        <v>231</v>
      </c>
      <c r="D39" s="30" t="str">
        <f aca="false">INDEX('Sample Mapping'!$B$5:$B$42,MATCH(C39,'Sample Mapping'!$A$5:$A$42,0))</f>
        <v>U1034</v>
      </c>
      <c r="E39" s="36" t="n">
        <v>45951</v>
      </c>
      <c r="F39" s="37" t="n">
        <v>0.611111111111111</v>
      </c>
      <c r="G39" s="37" t="n">
        <v>0.642361111111111</v>
      </c>
      <c r="H39" s="30" t="str">
        <f aca="false">INDEX(Sessions!$B$5:$B$8,MATCH(A39,Sessions!$A$5:$A$8,0))</f>
        <v>5-Day Academy</v>
      </c>
      <c r="I39" s="30" t="n">
        <f aca="false">E39-INDEX(Sessions!$D$5:$D$8,MATCH(A39,Sessions!$A$5:$A$8,0))+1</f>
        <v>2</v>
      </c>
      <c r="J39" s="30" t="n">
        <f aca="false">ROUND((G39-F39)*1440,0)</f>
        <v>45</v>
      </c>
      <c r="K39" s="30" t="n">
        <f aca="false">HOUR(F39)</f>
        <v>14</v>
      </c>
    </row>
    <row r="40" customFormat="false" ht="15" hidden="false" customHeight="false" outlineLevel="0" collapsed="false">
      <c r="A40" s="30" t="s">
        <v>159</v>
      </c>
      <c r="B40" s="30" t="s">
        <v>80</v>
      </c>
      <c r="C40" s="30" t="s">
        <v>231</v>
      </c>
      <c r="D40" s="30" t="str">
        <f aca="false">INDEX('Sample Mapping'!$B$5:$B$42,MATCH(C40,'Sample Mapping'!$A$5:$A$42,0))</f>
        <v>U1034</v>
      </c>
      <c r="E40" s="36" t="n">
        <v>45951</v>
      </c>
      <c r="F40" s="37" t="n">
        <v>0.677083333333333</v>
      </c>
      <c r="G40" s="37" t="n">
        <v>0.690972222222222</v>
      </c>
      <c r="H40" s="30" t="str">
        <f aca="false">INDEX(Sessions!$B$5:$B$8,MATCH(A40,Sessions!$A$5:$A$8,0))</f>
        <v>5-Day Academy</v>
      </c>
      <c r="I40" s="30" t="n">
        <f aca="false">E40-INDEX(Sessions!$D$5:$D$8,MATCH(A40,Sessions!$A$5:$A$8,0))+1</f>
        <v>2</v>
      </c>
      <c r="J40" s="30" t="n">
        <f aca="false">ROUND((G40-F40)*1440,0)</f>
        <v>20</v>
      </c>
      <c r="K40" s="30" t="n">
        <f aca="false">HOUR(F40)</f>
        <v>16</v>
      </c>
    </row>
    <row r="41" customFormat="false" ht="15" hidden="false" customHeight="false" outlineLevel="0" collapsed="false">
      <c r="A41" s="30" t="s">
        <v>159</v>
      </c>
      <c r="B41" s="30" t="s">
        <v>316</v>
      </c>
      <c r="C41" s="30" t="s">
        <v>237</v>
      </c>
      <c r="D41" s="30" t="str">
        <f aca="false">INDEX('Sample Mapping'!$B$5:$B$42,MATCH(C41,'Sample Mapping'!$A$5:$A$42,0))</f>
        <v>U1037</v>
      </c>
      <c r="E41" s="36" t="n">
        <v>45951</v>
      </c>
      <c r="F41" s="37" t="n">
        <v>0.454861111111111</v>
      </c>
      <c r="G41" s="37" t="n">
        <v>0.46875</v>
      </c>
      <c r="H41" s="30" t="str">
        <f aca="false">INDEX(Sessions!$B$5:$B$8,MATCH(A41,Sessions!$A$5:$A$8,0))</f>
        <v>5-Day Academy</v>
      </c>
      <c r="I41" s="30" t="n">
        <f aca="false">E41-INDEX(Sessions!$D$5:$D$8,MATCH(A41,Sessions!$A$5:$A$8,0))+1</f>
        <v>2</v>
      </c>
      <c r="J41" s="30" t="n">
        <f aca="false">ROUND((G41-F41)*1440,0)</f>
        <v>20</v>
      </c>
      <c r="K41" s="30" t="n">
        <f aca="false">HOUR(F41)</f>
        <v>10</v>
      </c>
    </row>
    <row r="42" customFormat="false" ht="15" hidden="false" customHeight="false" outlineLevel="0" collapsed="false">
      <c r="A42" s="30" t="s">
        <v>159</v>
      </c>
      <c r="B42" s="30" t="s">
        <v>81</v>
      </c>
      <c r="C42" s="30" t="s">
        <v>239</v>
      </c>
      <c r="D42" s="30" t="str">
        <f aca="false">INDEX('Sample Mapping'!$B$5:$B$42,MATCH(C42,'Sample Mapping'!$A$5:$A$42,0))</f>
        <v>U1038</v>
      </c>
      <c r="E42" s="36" t="n">
        <v>45951</v>
      </c>
      <c r="F42" s="37" t="n">
        <v>0.416666666666667</v>
      </c>
      <c r="G42" s="37" t="n">
        <v>0.4375</v>
      </c>
      <c r="H42" s="30" t="str">
        <f aca="false">INDEX(Sessions!$B$5:$B$8,MATCH(A42,Sessions!$A$5:$A$8,0))</f>
        <v>5-Day Academy</v>
      </c>
      <c r="I42" s="30" t="n">
        <f aca="false">E42-INDEX(Sessions!$D$5:$D$8,MATCH(A42,Sessions!$A$5:$A$8,0))+1</f>
        <v>2</v>
      </c>
      <c r="J42" s="30" t="n">
        <f aca="false">ROUND((G42-F42)*1440,0)</f>
        <v>30</v>
      </c>
      <c r="K42" s="30" t="n">
        <f aca="false">HOUR(F42)</f>
        <v>10</v>
      </c>
    </row>
    <row r="43" customFormat="false" ht="15" hidden="false" customHeight="false" outlineLevel="0" collapsed="false">
      <c r="A43" s="30" t="s">
        <v>159</v>
      </c>
      <c r="B43" s="30" t="s">
        <v>82</v>
      </c>
      <c r="C43" s="30" t="s">
        <v>223</v>
      </c>
      <c r="D43" s="30" t="str">
        <f aca="false">INDEX('Sample Mapping'!$B$5:$B$42,MATCH(C43,'Sample Mapping'!$A$5:$A$42,0))</f>
        <v>U1030</v>
      </c>
      <c r="E43" s="36" t="n">
        <v>45952</v>
      </c>
      <c r="F43" s="37" t="n">
        <v>0.486111111111111</v>
      </c>
      <c r="G43" s="37" t="n">
        <v>0.5</v>
      </c>
      <c r="H43" s="30" t="str">
        <f aca="false">INDEX(Sessions!$B$5:$B$8,MATCH(A43,Sessions!$A$5:$A$8,0))</f>
        <v>5-Day Academy</v>
      </c>
      <c r="I43" s="30" t="n">
        <f aca="false">E43-INDEX(Sessions!$D$5:$D$8,MATCH(A43,Sessions!$A$5:$A$8,0))+1</f>
        <v>3</v>
      </c>
      <c r="J43" s="30" t="n">
        <f aca="false">ROUND((G43-F43)*1440,0)</f>
        <v>20</v>
      </c>
      <c r="K43" s="30" t="n">
        <f aca="false">HOUR(F43)</f>
        <v>11</v>
      </c>
    </row>
    <row r="44" customFormat="false" ht="15" hidden="false" customHeight="false" outlineLevel="0" collapsed="false">
      <c r="A44" s="30" t="s">
        <v>159</v>
      </c>
      <c r="B44" s="30" t="s">
        <v>82</v>
      </c>
      <c r="C44" s="30" t="s">
        <v>223</v>
      </c>
      <c r="D44" s="30" t="str">
        <f aca="false">INDEX('Sample Mapping'!$B$5:$B$42,MATCH(C44,'Sample Mapping'!$A$5:$A$42,0))</f>
        <v>U1030</v>
      </c>
      <c r="E44" s="36" t="n">
        <v>45952</v>
      </c>
      <c r="F44" s="37" t="n">
        <v>0.569444444444444</v>
      </c>
      <c r="G44" s="37" t="n">
        <v>0.621527777777778</v>
      </c>
      <c r="H44" s="30" t="str">
        <f aca="false">INDEX(Sessions!$B$5:$B$8,MATCH(A44,Sessions!$A$5:$A$8,0))</f>
        <v>5-Day Academy</v>
      </c>
      <c r="I44" s="30" t="n">
        <f aca="false">E44-INDEX(Sessions!$D$5:$D$8,MATCH(A44,Sessions!$A$5:$A$8,0))+1</f>
        <v>3</v>
      </c>
      <c r="J44" s="30" t="n">
        <f aca="false">ROUND((G44-F44)*1440,0)</f>
        <v>75</v>
      </c>
      <c r="K44" s="30" t="n">
        <f aca="false">HOUR(F44)</f>
        <v>13</v>
      </c>
    </row>
    <row r="45" customFormat="false" ht="15" hidden="false" customHeight="false" outlineLevel="0" collapsed="false">
      <c r="A45" s="30" t="s">
        <v>159</v>
      </c>
      <c r="B45" s="30" t="s">
        <v>80</v>
      </c>
      <c r="C45" s="30" t="s">
        <v>231</v>
      </c>
      <c r="D45" s="30" t="str">
        <f aca="false">INDEX('Sample Mapping'!$B$5:$B$42,MATCH(C45,'Sample Mapping'!$A$5:$A$42,0))</f>
        <v>U1034</v>
      </c>
      <c r="E45" s="36" t="n">
        <v>45952</v>
      </c>
      <c r="F45" s="37" t="n">
        <v>0.402777777777778</v>
      </c>
      <c r="G45" s="37" t="n">
        <v>0.444444444444444</v>
      </c>
      <c r="H45" s="30" t="str">
        <f aca="false">INDEX(Sessions!$B$5:$B$8,MATCH(A45,Sessions!$A$5:$A$8,0))</f>
        <v>5-Day Academy</v>
      </c>
      <c r="I45" s="30" t="n">
        <f aca="false">E45-INDEX(Sessions!$D$5:$D$8,MATCH(A45,Sessions!$A$5:$A$8,0))+1</f>
        <v>3</v>
      </c>
      <c r="J45" s="30" t="n">
        <f aca="false">ROUND((G45-F45)*1440,0)</f>
        <v>60</v>
      </c>
      <c r="K45" s="30" t="n">
        <f aca="false">HOUR(F45)</f>
        <v>9</v>
      </c>
    </row>
    <row r="46" customFormat="false" ht="15" hidden="false" customHeight="false" outlineLevel="0" collapsed="false">
      <c r="A46" s="30" t="s">
        <v>159</v>
      </c>
      <c r="B46" s="30" t="s">
        <v>80</v>
      </c>
      <c r="C46" s="30" t="s">
        <v>231</v>
      </c>
      <c r="D46" s="30" t="str">
        <f aca="false">INDEX('Sample Mapping'!$B$5:$B$42,MATCH(C46,'Sample Mapping'!$A$5:$A$42,0))</f>
        <v>U1034</v>
      </c>
      <c r="E46" s="36" t="n">
        <v>45952</v>
      </c>
      <c r="F46" s="37" t="n">
        <v>0.5</v>
      </c>
      <c r="G46" s="37" t="n">
        <v>0.53125</v>
      </c>
      <c r="H46" s="30" t="str">
        <f aca="false">INDEX(Sessions!$B$5:$B$8,MATCH(A46,Sessions!$A$5:$A$8,0))</f>
        <v>5-Day Academy</v>
      </c>
      <c r="I46" s="30" t="n">
        <f aca="false">E46-INDEX(Sessions!$D$5:$D$8,MATCH(A46,Sessions!$A$5:$A$8,0))+1</f>
        <v>3</v>
      </c>
      <c r="J46" s="30" t="n">
        <f aca="false">ROUND((G46-F46)*1440,0)</f>
        <v>45</v>
      </c>
      <c r="K46" s="30" t="n">
        <f aca="false">HOUR(F46)</f>
        <v>12</v>
      </c>
    </row>
    <row r="47" customFormat="false" ht="15" hidden="false" customHeight="false" outlineLevel="0" collapsed="false">
      <c r="A47" s="30" t="s">
        <v>159</v>
      </c>
      <c r="B47" s="30" t="s">
        <v>87</v>
      </c>
      <c r="C47" s="30" t="s">
        <v>233</v>
      </c>
      <c r="D47" s="30" t="str">
        <f aca="false">INDEX('Sample Mapping'!$B$5:$B$42,MATCH(C47,'Sample Mapping'!$A$5:$A$42,0))</f>
        <v>U1035</v>
      </c>
      <c r="E47" s="36" t="n">
        <v>45952</v>
      </c>
      <c r="F47" s="37" t="n">
        <v>0.604166666666667</v>
      </c>
      <c r="G47" s="37" t="n">
        <v>0.614583333333333</v>
      </c>
      <c r="H47" s="30" t="str">
        <f aca="false">INDEX(Sessions!$B$5:$B$8,MATCH(A47,Sessions!$A$5:$A$8,0))</f>
        <v>5-Day Academy</v>
      </c>
      <c r="I47" s="30" t="n">
        <f aca="false">E47-INDEX(Sessions!$D$5:$D$8,MATCH(A47,Sessions!$A$5:$A$8,0))+1</f>
        <v>3</v>
      </c>
      <c r="J47" s="30" t="n">
        <f aca="false">ROUND((G47-F47)*1440,0)</f>
        <v>15</v>
      </c>
      <c r="K47" s="30" t="n">
        <f aca="false">HOUR(F47)</f>
        <v>14</v>
      </c>
    </row>
    <row r="48" customFormat="false" ht="15" hidden="false" customHeight="false" outlineLevel="0" collapsed="false">
      <c r="A48" s="30" t="s">
        <v>159</v>
      </c>
      <c r="B48" s="30" t="s">
        <v>85</v>
      </c>
      <c r="C48" s="30" t="s">
        <v>235</v>
      </c>
      <c r="D48" s="30" t="str">
        <f aca="false">INDEX('Sample Mapping'!$B$5:$B$42,MATCH(C48,'Sample Mapping'!$A$5:$A$42,0))</f>
        <v>U1036</v>
      </c>
      <c r="E48" s="36" t="n">
        <v>45952</v>
      </c>
      <c r="F48" s="37" t="n">
        <v>0.597222222222222</v>
      </c>
      <c r="G48" s="37" t="n">
        <v>0.625</v>
      </c>
      <c r="H48" s="30" t="str">
        <f aca="false">INDEX(Sessions!$B$5:$B$8,MATCH(A48,Sessions!$A$5:$A$8,0))</f>
        <v>5-Day Academy</v>
      </c>
      <c r="I48" s="30" t="n">
        <f aca="false">E48-INDEX(Sessions!$D$5:$D$8,MATCH(A48,Sessions!$A$5:$A$8,0))+1</f>
        <v>3</v>
      </c>
      <c r="J48" s="30" t="n">
        <f aca="false">ROUND((G48-F48)*1440,0)</f>
        <v>40</v>
      </c>
      <c r="K48" s="30" t="n">
        <f aca="false">HOUR(F48)</f>
        <v>14</v>
      </c>
    </row>
    <row r="49" customFormat="false" ht="15" hidden="false" customHeight="false" outlineLevel="0" collapsed="false">
      <c r="A49" s="30" t="s">
        <v>159</v>
      </c>
      <c r="B49" s="30" t="s">
        <v>81</v>
      </c>
      <c r="C49" s="30" t="s">
        <v>239</v>
      </c>
      <c r="D49" s="30" t="str">
        <f aca="false">INDEX('Sample Mapping'!$B$5:$B$42,MATCH(C49,'Sample Mapping'!$A$5:$A$42,0))</f>
        <v>U1038</v>
      </c>
      <c r="E49" s="36" t="n">
        <v>45952</v>
      </c>
      <c r="F49" s="37" t="n">
        <v>0.635416666666667</v>
      </c>
      <c r="G49" s="37" t="n">
        <v>0.663194444444444</v>
      </c>
      <c r="H49" s="30" t="str">
        <f aca="false">INDEX(Sessions!$B$5:$B$8,MATCH(A49,Sessions!$A$5:$A$8,0))</f>
        <v>5-Day Academy</v>
      </c>
      <c r="I49" s="30" t="n">
        <f aca="false">E49-INDEX(Sessions!$D$5:$D$8,MATCH(A49,Sessions!$A$5:$A$8,0))+1</f>
        <v>3</v>
      </c>
      <c r="J49" s="30" t="n">
        <f aca="false">ROUND((G49-F49)*1440,0)</f>
        <v>40</v>
      </c>
      <c r="K49" s="30" t="n">
        <f aca="false">HOUR(F49)</f>
        <v>15</v>
      </c>
    </row>
    <row r="50" customFormat="false" ht="15" hidden="false" customHeight="false" outlineLevel="0" collapsed="false">
      <c r="A50" s="30" t="s">
        <v>159</v>
      </c>
      <c r="B50" s="30" t="s">
        <v>87</v>
      </c>
      <c r="C50" s="30" t="s">
        <v>233</v>
      </c>
      <c r="D50" s="30" t="str">
        <f aca="false">INDEX('Sample Mapping'!$B$5:$B$42,MATCH(C50,'Sample Mapping'!$A$5:$A$42,0))</f>
        <v>U1035</v>
      </c>
      <c r="E50" s="36" t="n">
        <v>45953</v>
      </c>
      <c r="F50" s="37" t="n">
        <v>0.552083333333333</v>
      </c>
      <c r="G50" s="37" t="n">
        <v>0.5625</v>
      </c>
      <c r="H50" s="30" t="str">
        <f aca="false">INDEX(Sessions!$B$5:$B$8,MATCH(A50,Sessions!$A$5:$A$8,0))</f>
        <v>5-Day Academy</v>
      </c>
      <c r="I50" s="30" t="n">
        <f aca="false">E50-INDEX(Sessions!$D$5:$D$8,MATCH(A50,Sessions!$A$5:$A$8,0))+1</f>
        <v>4</v>
      </c>
      <c r="J50" s="30" t="n">
        <f aca="false">ROUND((G50-F50)*1440,0)</f>
        <v>15</v>
      </c>
      <c r="K50" s="30" t="n">
        <f aca="false">HOUR(F50)</f>
        <v>13</v>
      </c>
    </row>
    <row r="51" customFormat="false" ht="15" hidden="false" customHeight="false" outlineLevel="0" collapsed="false">
      <c r="A51" s="30" t="s">
        <v>159</v>
      </c>
      <c r="B51" s="30" t="s">
        <v>85</v>
      </c>
      <c r="C51" s="30" t="s">
        <v>235</v>
      </c>
      <c r="D51" s="30" t="str">
        <f aca="false">INDEX('Sample Mapping'!$B$5:$B$42,MATCH(C51,'Sample Mapping'!$A$5:$A$42,0))</f>
        <v>U1036</v>
      </c>
      <c r="E51" s="36" t="n">
        <v>45953</v>
      </c>
      <c r="F51" s="37" t="n">
        <v>0.552083333333333</v>
      </c>
      <c r="G51" s="37" t="n">
        <v>0.604166666666667</v>
      </c>
      <c r="H51" s="30" t="str">
        <f aca="false">INDEX(Sessions!$B$5:$B$8,MATCH(A51,Sessions!$A$5:$A$8,0))</f>
        <v>5-Day Academy</v>
      </c>
      <c r="I51" s="30" t="n">
        <f aca="false">E51-INDEX(Sessions!$D$5:$D$8,MATCH(A51,Sessions!$A$5:$A$8,0))+1</f>
        <v>4</v>
      </c>
      <c r="J51" s="30" t="n">
        <f aca="false">ROUND((G51-F51)*1440,0)</f>
        <v>75</v>
      </c>
      <c r="K51" s="30" t="n">
        <f aca="false">HOUR(F51)</f>
        <v>13</v>
      </c>
    </row>
    <row r="52" customFormat="false" ht="15" hidden="false" customHeight="false" outlineLevel="0" collapsed="false">
      <c r="A52" s="30" t="s">
        <v>159</v>
      </c>
      <c r="B52" s="30" t="s">
        <v>85</v>
      </c>
      <c r="C52" s="30" t="s">
        <v>235</v>
      </c>
      <c r="D52" s="30" t="str">
        <f aca="false">INDEX('Sample Mapping'!$B$5:$B$42,MATCH(C52,'Sample Mapping'!$A$5:$A$42,0))</f>
        <v>U1036</v>
      </c>
      <c r="E52" s="36" t="n">
        <v>45953</v>
      </c>
      <c r="F52" s="37" t="n">
        <v>0.618055555555556</v>
      </c>
      <c r="G52" s="37" t="n">
        <v>0.649305555555556</v>
      </c>
      <c r="H52" s="30" t="str">
        <f aca="false">INDEX(Sessions!$B$5:$B$8,MATCH(A52,Sessions!$A$5:$A$8,0))</f>
        <v>5-Day Academy</v>
      </c>
      <c r="I52" s="30" t="n">
        <f aca="false">E52-INDEX(Sessions!$D$5:$D$8,MATCH(A52,Sessions!$A$5:$A$8,0))+1</f>
        <v>4</v>
      </c>
      <c r="J52" s="30" t="n">
        <f aca="false">ROUND((G52-F52)*1440,0)</f>
        <v>45</v>
      </c>
      <c r="K52" s="30" t="n">
        <f aca="false">HOUR(F52)</f>
        <v>14</v>
      </c>
    </row>
    <row r="53" customFormat="false" ht="15" hidden="false" customHeight="false" outlineLevel="0" collapsed="false">
      <c r="A53" s="30" t="s">
        <v>159</v>
      </c>
      <c r="B53" s="30" t="s">
        <v>316</v>
      </c>
      <c r="C53" s="30" t="s">
        <v>237</v>
      </c>
      <c r="D53" s="30" t="str">
        <f aca="false">INDEX('Sample Mapping'!$B$5:$B$42,MATCH(C53,'Sample Mapping'!$A$5:$A$42,0))</f>
        <v>U1037</v>
      </c>
      <c r="E53" s="36" t="n">
        <v>45953</v>
      </c>
      <c r="F53" s="37" t="n">
        <v>0.409722222222222</v>
      </c>
      <c r="G53" s="37" t="n">
        <v>0.440972222222222</v>
      </c>
      <c r="H53" s="30" t="str">
        <f aca="false">INDEX(Sessions!$B$5:$B$8,MATCH(A53,Sessions!$A$5:$A$8,0))</f>
        <v>5-Day Academy</v>
      </c>
      <c r="I53" s="30" t="n">
        <f aca="false">E53-INDEX(Sessions!$D$5:$D$8,MATCH(A53,Sessions!$A$5:$A$8,0))+1</f>
        <v>4</v>
      </c>
      <c r="J53" s="30" t="n">
        <f aca="false">ROUND((G53-F53)*1440,0)</f>
        <v>45</v>
      </c>
      <c r="K53" s="30" t="n">
        <f aca="false">HOUR(F53)</f>
        <v>9</v>
      </c>
    </row>
    <row r="54" customFormat="false" ht="15" hidden="false" customHeight="false" outlineLevel="0" collapsed="false">
      <c r="A54" s="30" t="s">
        <v>159</v>
      </c>
      <c r="B54" s="30" t="s">
        <v>316</v>
      </c>
      <c r="C54" s="30" t="s">
        <v>237</v>
      </c>
      <c r="D54" s="30" t="str">
        <f aca="false">INDEX('Sample Mapping'!$B$5:$B$42,MATCH(C54,'Sample Mapping'!$A$5:$A$42,0))</f>
        <v>U1037</v>
      </c>
      <c r="E54" s="36" t="n">
        <v>45953</v>
      </c>
      <c r="F54" s="37" t="n">
        <v>0.645833333333333</v>
      </c>
      <c r="G54" s="37" t="n">
        <v>0.659722222222222</v>
      </c>
      <c r="H54" s="30" t="str">
        <f aca="false">INDEX(Sessions!$B$5:$B$8,MATCH(A54,Sessions!$A$5:$A$8,0))</f>
        <v>5-Day Academy</v>
      </c>
      <c r="I54" s="30" t="n">
        <f aca="false">E54-INDEX(Sessions!$D$5:$D$8,MATCH(A54,Sessions!$A$5:$A$8,0))+1</f>
        <v>4</v>
      </c>
      <c r="J54" s="30" t="n">
        <f aca="false">ROUND((G54-F54)*1440,0)</f>
        <v>20</v>
      </c>
      <c r="K54" s="30" t="n">
        <f aca="false">HOUR(F54)</f>
        <v>15</v>
      </c>
    </row>
    <row r="55" customFormat="false" ht="15" hidden="false" customHeight="false" outlineLevel="0" collapsed="false">
      <c r="A55" s="30" t="s">
        <v>159</v>
      </c>
      <c r="B55" s="30" t="s">
        <v>81</v>
      </c>
      <c r="C55" s="30" t="s">
        <v>239</v>
      </c>
      <c r="D55" s="30" t="str">
        <f aca="false">INDEX('Sample Mapping'!$B$5:$B$42,MATCH(C55,'Sample Mapping'!$A$5:$A$42,0))</f>
        <v>U1038</v>
      </c>
      <c r="E55" s="36" t="n">
        <v>45953</v>
      </c>
      <c r="F55" s="37" t="n">
        <v>0.59375</v>
      </c>
      <c r="G55" s="37" t="n">
        <v>0.645833333333333</v>
      </c>
      <c r="H55" s="30" t="str">
        <f aca="false">INDEX(Sessions!$B$5:$B$8,MATCH(A55,Sessions!$A$5:$A$8,0))</f>
        <v>5-Day Academy</v>
      </c>
      <c r="I55" s="30" t="n">
        <f aca="false">E55-INDEX(Sessions!$D$5:$D$8,MATCH(A55,Sessions!$A$5:$A$8,0))+1</f>
        <v>4</v>
      </c>
      <c r="J55" s="30" t="n">
        <f aca="false">ROUND((G55-F55)*1440,0)</f>
        <v>75</v>
      </c>
      <c r="K55" s="30" t="n">
        <f aca="false">HOUR(F55)</f>
        <v>14</v>
      </c>
    </row>
    <row r="56" customFormat="false" ht="15" hidden="false" customHeight="false" outlineLevel="0" collapsed="false">
      <c r="A56" s="30" t="s">
        <v>159</v>
      </c>
      <c r="B56" s="30" t="s">
        <v>80</v>
      </c>
      <c r="C56" s="30" t="s">
        <v>231</v>
      </c>
      <c r="D56" s="30" t="str">
        <f aca="false">INDEX('Sample Mapping'!$B$5:$B$42,MATCH(C56,'Sample Mapping'!$A$5:$A$42,0))</f>
        <v>U1034</v>
      </c>
      <c r="E56" s="36" t="n">
        <v>45954</v>
      </c>
      <c r="F56" s="37" t="n">
        <v>0.416666666666667</v>
      </c>
      <c r="G56" s="37" t="n">
        <v>0.430555555555556</v>
      </c>
      <c r="H56" s="30" t="str">
        <f aca="false">INDEX(Sessions!$B$5:$B$8,MATCH(A56,Sessions!$A$5:$A$8,0))</f>
        <v>5-Day Academy</v>
      </c>
      <c r="I56" s="30" t="n">
        <f aca="false">E56-INDEX(Sessions!$D$5:$D$8,MATCH(A56,Sessions!$A$5:$A$8,0))+1</f>
        <v>5</v>
      </c>
      <c r="J56" s="30" t="n">
        <f aca="false">ROUND((G56-F56)*1440,0)</f>
        <v>20</v>
      </c>
      <c r="K56" s="30" t="n">
        <f aca="false">HOUR(F56)</f>
        <v>10</v>
      </c>
    </row>
    <row r="57" customFormat="false" ht="15" hidden="false" customHeight="false" outlineLevel="0" collapsed="false">
      <c r="A57" s="30" t="s">
        <v>159</v>
      </c>
      <c r="B57" s="30" t="s">
        <v>80</v>
      </c>
      <c r="C57" s="30" t="s">
        <v>231</v>
      </c>
      <c r="D57" s="30" t="str">
        <f aca="false">INDEX('Sample Mapping'!$B$5:$B$42,MATCH(C57,'Sample Mapping'!$A$5:$A$42,0))</f>
        <v>U1034</v>
      </c>
      <c r="E57" s="36" t="n">
        <v>45954</v>
      </c>
      <c r="F57" s="37" t="n">
        <v>0.586805555555556</v>
      </c>
      <c r="G57" s="37" t="n">
        <v>0.597222222222222</v>
      </c>
      <c r="H57" s="30" t="str">
        <f aca="false">INDEX(Sessions!$B$5:$B$8,MATCH(A57,Sessions!$A$5:$A$8,0))</f>
        <v>5-Day Academy</v>
      </c>
      <c r="I57" s="30" t="n">
        <f aca="false">E57-INDEX(Sessions!$D$5:$D$8,MATCH(A57,Sessions!$A$5:$A$8,0))+1</f>
        <v>5</v>
      </c>
      <c r="J57" s="30" t="n">
        <f aca="false">ROUND((G57-F57)*1440,0)</f>
        <v>15</v>
      </c>
      <c r="K57" s="30" t="n">
        <f aca="false">HOUR(F57)</f>
        <v>14</v>
      </c>
    </row>
    <row r="58" customFormat="false" ht="15" hidden="false" customHeight="false" outlineLevel="0" collapsed="false">
      <c r="A58" s="30" t="s">
        <v>159</v>
      </c>
      <c r="B58" s="30" t="s">
        <v>80</v>
      </c>
      <c r="C58" s="30" t="s">
        <v>231</v>
      </c>
      <c r="D58" s="30" t="str">
        <f aca="false">INDEX('Sample Mapping'!$B$5:$B$42,MATCH(C58,'Sample Mapping'!$A$5:$A$42,0))</f>
        <v>U1034</v>
      </c>
      <c r="E58" s="36" t="n">
        <v>45954</v>
      </c>
      <c r="F58" s="37" t="n">
        <v>0.659722222222222</v>
      </c>
      <c r="G58" s="37" t="n">
        <v>0.680555555555556</v>
      </c>
      <c r="H58" s="30" t="str">
        <f aca="false">INDEX(Sessions!$B$5:$B$8,MATCH(A58,Sessions!$A$5:$A$8,0))</f>
        <v>5-Day Academy</v>
      </c>
      <c r="I58" s="30" t="n">
        <f aca="false">E58-INDEX(Sessions!$D$5:$D$8,MATCH(A58,Sessions!$A$5:$A$8,0))+1</f>
        <v>5</v>
      </c>
      <c r="J58" s="30" t="n">
        <f aca="false">ROUND((G58-F58)*1440,0)</f>
        <v>30</v>
      </c>
      <c r="K58" s="30" t="n">
        <f aca="false">HOUR(F58)</f>
        <v>15</v>
      </c>
    </row>
    <row r="59" customFormat="false" ht="15" hidden="false" customHeight="false" outlineLevel="0" collapsed="false">
      <c r="A59" s="30" t="s">
        <v>159</v>
      </c>
      <c r="B59" s="30" t="s">
        <v>87</v>
      </c>
      <c r="C59" s="30" t="s">
        <v>233</v>
      </c>
      <c r="D59" s="30" t="str">
        <f aca="false">INDEX('Sample Mapping'!$B$5:$B$42,MATCH(C59,'Sample Mapping'!$A$5:$A$42,0))</f>
        <v>U1035</v>
      </c>
      <c r="E59" s="36" t="n">
        <v>45954</v>
      </c>
      <c r="F59" s="37" t="n">
        <v>0.413194444444444</v>
      </c>
      <c r="G59" s="37" t="n">
        <v>0.430555555555556</v>
      </c>
      <c r="H59" s="30" t="str">
        <f aca="false">INDEX(Sessions!$B$5:$B$8,MATCH(A59,Sessions!$A$5:$A$8,0))</f>
        <v>5-Day Academy</v>
      </c>
      <c r="I59" s="30" t="n">
        <f aca="false">E59-INDEX(Sessions!$D$5:$D$8,MATCH(A59,Sessions!$A$5:$A$8,0))+1</f>
        <v>5</v>
      </c>
      <c r="J59" s="30" t="n">
        <f aca="false">ROUND((G59-F59)*1440,0)</f>
        <v>25</v>
      </c>
      <c r="K59" s="30" t="n">
        <f aca="false">HOUR(F59)</f>
        <v>9</v>
      </c>
    </row>
    <row r="60" customFormat="false" ht="15" hidden="false" customHeight="false" outlineLevel="0" collapsed="false">
      <c r="A60" s="30" t="s">
        <v>159</v>
      </c>
      <c r="B60" s="30" t="s">
        <v>87</v>
      </c>
      <c r="C60" s="30" t="s">
        <v>233</v>
      </c>
      <c r="D60" s="30" t="str">
        <f aca="false">INDEX('Sample Mapping'!$B$5:$B$42,MATCH(C60,'Sample Mapping'!$A$5:$A$42,0))</f>
        <v>U1035</v>
      </c>
      <c r="E60" s="36" t="n">
        <v>45954</v>
      </c>
      <c r="F60" s="37" t="n">
        <v>0.472222222222222</v>
      </c>
      <c r="G60" s="37" t="n">
        <v>0.486111111111111</v>
      </c>
      <c r="H60" s="30" t="str">
        <f aca="false">INDEX(Sessions!$B$5:$B$8,MATCH(A60,Sessions!$A$5:$A$8,0))</f>
        <v>5-Day Academy</v>
      </c>
      <c r="I60" s="30" t="n">
        <f aca="false">E60-INDEX(Sessions!$D$5:$D$8,MATCH(A60,Sessions!$A$5:$A$8,0))+1</f>
        <v>5</v>
      </c>
      <c r="J60" s="30" t="n">
        <f aca="false">ROUND((G60-F60)*1440,0)</f>
        <v>20</v>
      </c>
      <c r="K60" s="30" t="n">
        <f aca="false">HOUR(F60)</f>
        <v>11</v>
      </c>
    </row>
    <row r="61" customFormat="false" ht="15" hidden="false" customHeight="false" outlineLevel="0" collapsed="false">
      <c r="A61" s="30" t="s">
        <v>159</v>
      </c>
      <c r="B61" s="30" t="s">
        <v>87</v>
      </c>
      <c r="C61" s="30" t="s">
        <v>233</v>
      </c>
      <c r="D61" s="30" t="str">
        <f aca="false">INDEX('Sample Mapping'!$B$5:$B$42,MATCH(C61,'Sample Mapping'!$A$5:$A$42,0))</f>
        <v>U1035</v>
      </c>
      <c r="E61" s="36" t="n">
        <v>45954</v>
      </c>
      <c r="F61" s="37" t="n">
        <v>0.673611111111111</v>
      </c>
      <c r="G61" s="37" t="n">
        <v>0.694444444444444</v>
      </c>
      <c r="H61" s="30" t="str">
        <f aca="false">INDEX(Sessions!$B$5:$B$8,MATCH(A61,Sessions!$A$5:$A$8,0))</f>
        <v>5-Day Academy</v>
      </c>
      <c r="I61" s="30" t="n">
        <f aca="false">E61-INDEX(Sessions!$D$5:$D$8,MATCH(A61,Sessions!$A$5:$A$8,0))+1</f>
        <v>5</v>
      </c>
      <c r="J61" s="30" t="n">
        <f aca="false">ROUND((G61-F61)*1440,0)</f>
        <v>30</v>
      </c>
      <c r="K61" s="30" t="n">
        <f aca="false">HOUR(F61)</f>
        <v>16</v>
      </c>
    </row>
    <row r="62" customFormat="false" ht="15" hidden="false" customHeight="false" outlineLevel="0" collapsed="false">
      <c r="A62" s="30" t="s">
        <v>159</v>
      </c>
      <c r="B62" s="30" t="s">
        <v>81</v>
      </c>
      <c r="C62" s="30" t="s">
        <v>239</v>
      </c>
      <c r="D62" s="30" t="str">
        <f aca="false">INDEX('Sample Mapping'!$B$5:$B$42,MATCH(C62,'Sample Mapping'!$A$5:$A$42,0))</f>
        <v>U1038</v>
      </c>
      <c r="E62" s="36" t="n">
        <v>45954</v>
      </c>
      <c r="F62" s="37" t="n">
        <v>0.472222222222222</v>
      </c>
      <c r="G62" s="37" t="n">
        <v>0.493055555555556</v>
      </c>
      <c r="H62" s="30" t="str">
        <f aca="false">INDEX(Sessions!$B$5:$B$8,MATCH(A62,Sessions!$A$5:$A$8,0))</f>
        <v>5-Day Academy</v>
      </c>
      <c r="I62" s="30" t="n">
        <f aca="false">E62-INDEX(Sessions!$D$5:$D$8,MATCH(A62,Sessions!$A$5:$A$8,0))+1</f>
        <v>5</v>
      </c>
      <c r="J62" s="30" t="n">
        <f aca="false">ROUND((G62-F62)*1440,0)</f>
        <v>30</v>
      </c>
      <c r="K62" s="30" t="n">
        <f aca="false">HOUR(F62)</f>
        <v>11</v>
      </c>
    </row>
    <row r="63" customFormat="false" ht="15" hidden="false" customHeight="false" outlineLevel="0" collapsed="false">
      <c r="A63" s="30" t="s">
        <v>159</v>
      </c>
      <c r="B63" s="30" t="s">
        <v>81</v>
      </c>
      <c r="C63" s="30" t="s">
        <v>239</v>
      </c>
      <c r="D63" s="30" t="str">
        <f aca="false">INDEX('Sample Mapping'!$B$5:$B$42,MATCH(C63,'Sample Mapping'!$A$5:$A$42,0))</f>
        <v>U1038</v>
      </c>
      <c r="E63" s="36" t="n">
        <v>45954</v>
      </c>
      <c r="F63" s="37" t="n">
        <v>0.586805555555556</v>
      </c>
      <c r="G63" s="37" t="n">
        <v>0.638888888888889</v>
      </c>
      <c r="H63" s="30" t="str">
        <f aca="false">INDEX(Sessions!$B$5:$B$8,MATCH(A63,Sessions!$A$5:$A$8,0))</f>
        <v>5-Day Academy</v>
      </c>
      <c r="I63" s="30" t="n">
        <f aca="false">E63-INDEX(Sessions!$D$5:$D$8,MATCH(A63,Sessions!$A$5:$A$8,0))+1</f>
        <v>5</v>
      </c>
      <c r="J63" s="30" t="n">
        <f aca="false">ROUND((G63-F63)*1440,0)</f>
        <v>75</v>
      </c>
      <c r="K63" s="30" t="n">
        <f aca="false">HOUR(F63)</f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4" min="3" style="0" width="22"/>
  </cols>
  <sheetData>
    <row r="1" customFormat="false" ht="19.7" hidden="false" customHeight="false" outlineLevel="0" collapsed="false">
      <c r="A1" s="1" t="s">
        <v>455</v>
      </c>
    </row>
    <row r="2" customFormat="false" ht="15" hidden="false" customHeight="false" outlineLevel="0" collapsed="false">
      <c r="A2" s="2" t="s">
        <v>456</v>
      </c>
    </row>
    <row r="4" customFormat="false" ht="15" hidden="false" customHeight="false" outlineLevel="0" collapsed="false">
      <c r="A4" s="3" t="s">
        <v>164</v>
      </c>
      <c r="B4" s="3" t="s">
        <v>244</v>
      </c>
      <c r="C4" s="3" t="s">
        <v>457</v>
      </c>
      <c r="D4" s="3" t="s">
        <v>458</v>
      </c>
    </row>
    <row r="5" customFormat="false" ht="15" hidden="false" customHeight="false" outlineLevel="0" collapsed="false">
      <c r="A5" s="30" t="s">
        <v>168</v>
      </c>
      <c r="B5" s="30" t="str">
        <f aca="false">INDEX('Learner Roster'!$E$5:$E$44,MATCH(A5,'Learner Roster'!$C$5:$C$44,0))</f>
        <v>SLO-6VTHIB2TN9QJ3U3LQ2QY1UXV</v>
      </c>
      <c r="C5" s="30" t="s">
        <v>459</v>
      </c>
      <c r="D5" s="30" t="s">
        <v>460</v>
      </c>
    </row>
    <row r="6" customFormat="false" ht="15" hidden="false" customHeight="false" outlineLevel="0" collapsed="false">
      <c r="A6" s="30" t="s">
        <v>168</v>
      </c>
      <c r="B6" s="30" t="str">
        <f aca="false">INDEX('Learner Roster'!$E$5:$E$44,MATCH(A6,'Learner Roster'!$C$5:$C$44,0))</f>
        <v>SLO-6VTHIB2TN9QJ3U3LQ2QY1UXV</v>
      </c>
      <c r="C6" s="30" t="s">
        <v>461</v>
      </c>
      <c r="D6" s="30" t="s">
        <v>462</v>
      </c>
    </row>
    <row r="7" customFormat="false" ht="15" hidden="false" customHeight="false" outlineLevel="0" collapsed="false">
      <c r="A7" s="30" t="s">
        <v>172</v>
      </c>
      <c r="B7" s="30" t="str">
        <f aca="false">INDEX('Learner Roster'!$E$5:$E$44,MATCH(A7,'Learner Roster'!$C$5:$C$44,0))</f>
        <v>SLO-SUYHHFPU1JAUHFGY0J6E</v>
      </c>
      <c r="C7" s="30" t="s">
        <v>463</v>
      </c>
      <c r="D7" s="30" t="s">
        <v>464</v>
      </c>
    </row>
    <row r="8" customFormat="false" ht="15" hidden="false" customHeight="false" outlineLevel="0" collapsed="false">
      <c r="A8" s="30" t="s">
        <v>182</v>
      </c>
      <c r="B8" s="30" t="str">
        <f aca="false">INDEX('Learner Roster'!$E$5:$E$44,MATCH(A8,'Learner Roster'!$C$5:$C$44,0))</f>
        <v>SLO-ERZ1KJAAZKPG06TVX4F3JX</v>
      </c>
      <c r="C8" s="30" t="s">
        <v>465</v>
      </c>
      <c r="D8" s="30" t="s">
        <v>466</v>
      </c>
    </row>
    <row r="9" customFormat="false" ht="15" hidden="false" customHeight="false" outlineLevel="0" collapsed="false">
      <c r="A9" s="30" t="s">
        <v>182</v>
      </c>
      <c r="B9" s="30" t="str">
        <f aca="false">INDEX('Learner Roster'!$E$5:$E$44,MATCH(A9,'Learner Roster'!$C$5:$C$44,0))</f>
        <v>SLO-ERZ1KJAAZKPG06TVX4F3JX</v>
      </c>
      <c r="C9" s="30" t="s">
        <v>467</v>
      </c>
      <c r="D9" s="30" t="s">
        <v>468</v>
      </c>
    </row>
    <row r="10" customFormat="false" ht="15" hidden="false" customHeight="false" outlineLevel="0" collapsed="false">
      <c r="A10" s="30" t="s">
        <v>200</v>
      </c>
      <c r="B10" s="30" t="str">
        <f aca="false">INDEX('Learner Roster'!$E$5:$E$44,MATCH(A10,'Learner Roster'!$C$5:$C$44,0))</f>
        <v>SLO-4XB54CJ6QBM2ZEIO7OT9OTG</v>
      </c>
      <c r="C10" s="30" t="s">
        <v>469</v>
      </c>
      <c r="D10" s="30" t="s">
        <v>470</v>
      </c>
    </row>
    <row r="11" customFormat="false" ht="15" hidden="false" customHeight="false" outlineLevel="0" collapsed="false">
      <c r="A11" s="30" t="s">
        <v>200</v>
      </c>
      <c r="B11" s="30" t="str">
        <f aca="false">INDEX('Learner Roster'!$E$5:$E$44,MATCH(A11,'Learner Roster'!$C$5:$C$44,0))</f>
        <v>SLO-4XB54CJ6QBM2ZEIO7OT9OTG</v>
      </c>
      <c r="C11" s="30" t="s">
        <v>471</v>
      </c>
      <c r="D11" s="30" t="s">
        <v>472</v>
      </c>
    </row>
    <row r="12" customFormat="false" ht="15" hidden="false" customHeight="false" outlineLevel="0" collapsed="false">
      <c r="A12" s="30" t="s">
        <v>186</v>
      </c>
      <c r="B12" s="30" t="str">
        <f aca="false">INDEX('Learner Roster'!$E$5:$E$44,MATCH(A12,'Learner Roster'!$C$5:$C$44,0))</f>
        <v>SLO-AMFK2A87YFF1W7DB19FE1</v>
      </c>
      <c r="C12" s="30" t="s">
        <v>473</v>
      </c>
      <c r="D12" s="30" t="s">
        <v>474</v>
      </c>
    </row>
    <row r="13" customFormat="false" ht="15" hidden="false" customHeight="false" outlineLevel="0" collapsed="false">
      <c r="A13" s="30" t="s">
        <v>192</v>
      </c>
      <c r="B13" s="30" t="str">
        <f aca="false">INDEX('Learner Roster'!$E$5:$E$44,MATCH(A13,'Learner Roster'!$C$5:$C$44,0))</f>
        <v>SLO-L8Q660HBXTS5W66JWE7ZVB</v>
      </c>
      <c r="C13" s="30" t="s">
        <v>475</v>
      </c>
      <c r="D13" s="30" t="s">
        <v>476</v>
      </c>
    </row>
    <row r="14" customFormat="false" ht="15" hidden="false" customHeight="false" outlineLevel="0" collapsed="false">
      <c r="A14" s="30" t="s">
        <v>200</v>
      </c>
      <c r="B14" s="30" t="str">
        <f aca="false">INDEX('Learner Roster'!$E$5:$E$44,MATCH(A14,'Learner Roster'!$C$5:$C$44,0))</f>
        <v>SLO-4XB54CJ6QBM2ZEIO7OT9OTG</v>
      </c>
      <c r="C14" s="30" t="s">
        <v>477</v>
      </c>
      <c r="D14" s="30" t="s">
        <v>478</v>
      </c>
    </row>
    <row r="15" customFormat="false" ht="15" hidden="false" customHeight="false" outlineLevel="0" collapsed="false">
      <c r="A15" s="30" t="s">
        <v>216</v>
      </c>
      <c r="B15" s="30" t="str">
        <f aca="false">INDEX('Learner Roster'!$E$5:$E$44,MATCH(A15,'Learner Roster'!$C$5:$C$44,0))</f>
        <v>SLO-OKUWGD9D4WDIPON5UK28</v>
      </c>
      <c r="C15" s="30" t="s">
        <v>479</v>
      </c>
      <c r="D15" s="30" t="s">
        <v>480</v>
      </c>
    </row>
    <row r="16" customFormat="false" ht="15" hidden="false" customHeight="false" outlineLevel="0" collapsed="false">
      <c r="A16" s="30" t="s">
        <v>222</v>
      </c>
      <c r="B16" s="30" t="str">
        <f aca="false">INDEX('Learner Roster'!$E$5:$E$44,MATCH(A16,'Learner Roster'!$C$5:$C$44,0))</f>
        <v>SLO-QIJ3GVGQ8ST8FRF136RYXL9L</v>
      </c>
      <c r="C16" s="30" t="s">
        <v>481</v>
      </c>
      <c r="D16" s="30" t="s">
        <v>482</v>
      </c>
    </row>
    <row r="17" customFormat="false" ht="15" hidden="false" customHeight="false" outlineLevel="0" collapsed="false">
      <c r="A17" s="30" t="s">
        <v>222</v>
      </c>
      <c r="B17" s="30" t="str">
        <f aca="false">INDEX('Learner Roster'!$E$5:$E$44,MATCH(A17,'Learner Roster'!$C$5:$C$44,0))</f>
        <v>SLO-QIJ3GVGQ8ST8FRF136RYXL9L</v>
      </c>
      <c r="C17" s="30" t="s">
        <v>483</v>
      </c>
      <c r="D17" s="30" t="s">
        <v>484</v>
      </c>
    </row>
    <row r="18" customFormat="false" ht="15" hidden="false" customHeight="false" outlineLevel="0" collapsed="false">
      <c r="A18" s="30" t="s">
        <v>204</v>
      </c>
      <c r="B18" s="30" t="str">
        <f aca="false">INDEX('Learner Roster'!$E$5:$E$44,MATCH(A18,'Learner Roster'!$C$5:$C$44,0))</f>
        <v>SLO-Z6TM2KJ9DKVWMK7GLRYMW5</v>
      </c>
      <c r="C18" s="30" t="s">
        <v>485</v>
      </c>
      <c r="D18" s="30" t="s">
        <v>486</v>
      </c>
    </row>
    <row r="19" customFormat="false" ht="15" hidden="false" customHeight="false" outlineLevel="0" collapsed="false">
      <c r="A19" s="30" t="s">
        <v>210</v>
      </c>
      <c r="B19" s="30" t="str">
        <f aca="false">INDEX('Learner Roster'!$E$5:$E$44,MATCH(A19,'Learner Roster'!$C$5:$C$44,0))</f>
        <v>SLO-46PSDTQX1EUG0O0VQTWFKK19</v>
      </c>
      <c r="C19" s="30" t="s">
        <v>487</v>
      </c>
      <c r="D19" s="30" t="s">
        <v>488</v>
      </c>
    </row>
    <row r="20" customFormat="false" ht="15" hidden="false" customHeight="false" outlineLevel="0" collapsed="false">
      <c r="A20" s="30" t="s">
        <v>210</v>
      </c>
      <c r="B20" s="30" t="str">
        <f aca="false">INDEX('Learner Roster'!$E$5:$E$44,MATCH(A20,'Learner Roster'!$C$5:$C$44,0))</f>
        <v>SLO-46PSDTQX1EUG0O0VQTWFKK19</v>
      </c>
      <c r="C20" s="30" t="s">
        <v>489</v>
      </c>
      <c r="D20" s="30" t="s">
        <v>490</v>
      </c>
    </row>
    <row r="21" customFormat="false" ht="15" hidden="false" customHeight="false" outlineLevel="0" collapsed="false">
      <c r="A21" s="30" t="s">
        <v>206</v>
      </c>
      <c r="B21" s="30" t="str">
        <f aca="false">INDEX('Learner Roster'!$E$5:$E$44,MATCH(A21,'Learner Roster'!$C$5:$C$44,0))</f>
        <v>SLO-RM17MVCIXVUCZSBVAAGV</v>
      </c>
      <c r="C21" s="30" t="s">
        <v>491</v>
      </c>
      <c r="D21" s="30" t="s">
        <v>492</v>
      </c>
    </row>
    <row r="22" customFormat="false" ht="15" hidden="false" customHeight="false" outlineLevel="0" collapsed="false">
      <c r="A22" s="30" t="s">
        <v>214</v>
      </c>
      <c r="B22" s="30" t="str">
        <f aca="false">INDEX('Learner Roster'!$E$5:$E$44,MATCH(A22,'Learner Roster'!$C$5:$C$44,0))</f>
        <v>SLO-RA69DX9HROTFEIB2P89A</v>
      </c>
      <c r="C22" s="30" t="s">
        <v>493</v>
      </c>
      <c r="D22" s="30" t="s">
        <v>494</v>
      </c>
    </row>
    <row r="23" customFormat="false" ht="15" hidden="false" customHeight="false" outlineLevel="0" collapsed="false">
      <c r="A23" s="30" t="s">
        <v>214</v>
      </c>
      <c r="B23" s="30" t="str">
        <f aca="false">INDEX('Learner Roster'!$E$5:$E$44,MATCH(A23,'Learner Roster'!$C$5:$C$44,0))</f>
        <v>SLO-RA69DX9HROTFEIB2P89A</v>
      </c>
      <c r="C23" s="30" t="s">
        <v>494</v>
      </c>
      <c r="D23" s="30" t="s">
        <v>495</v>
      </c>
    </row>
    <row r="24" customFormat="false" ht="15" hidden="false" customHeight="false" outlineLevel="0" collapsed="false">
      <c r="A24" s="30" t="s">
        <v>214</v>
      </c>
      <c r="B24" s="30" t="str">
        <f aca="false">INDEX('Learner Roster'!$E$5:$E$44,MATCH(A24,'Learner Roster'!$C$5:$C$44,0))</f>
        <v>SLO-RA69DX9HROTFEIB2P89A</v>
      </c>
      <c r="C24" s="30" t="s">
        <v>496</v>
      </c>
      <c r="D24" s="30" t="s">
        <v>497</v>
      </c>
    </row>
    <row r="25" customFormat="false" ht="15" hidden="false" customHeight="false" outlineLevel="0" collapsed="false">
      <c r="A25" s="30" t="s">
        <v>208</v>
      </c>
      <c r="B25" s="30" t="str">
        <f aca="false">INDEX('Learner Roster'!$E$5:$E$44,MATCH(A25,'Learner Roster'!$C$5:$C$44,0))</f>
        <v>SLO-6GPBIRMAN2HPD7E20NPVJE4</v>
      </c>
      <c r="C25" s="30" t="s">
        <v>498</v>
      </c>
      <c r="D25" s="30" t="s">
        <v>499</v>
      </c>
    </row>
    <row r="26" customFormat="false" ht="15" hidden="false" customHeight="false" outlineLevel="0" collapsed="false">
      <c r="A26" s="30" t="s">
        <v>208</v>
      </c>
      <c r="B26" s="30" t="str">
        <f aca="false">INDEX('Learner Roster'!$E$5:$E$44,MATCH(A26,'Learner Roster'!$C$5:$C$44,0))</f>
        <v>SLO-6GPBIRMAN2HPD7E20NPVJE4</v>
      </c>
      <c r="C26" s="30" t="s">
        <v>500</v>
      </c>
      <c r="D26" s="30" t="s">
        <v>501</v>
      </c>
    </row>
    <row r="27" customFormat="false" ht="15" hidden="false" customHeight="false" outlineLevel="0" collapsed="false">
      <c r="A27" s="30" t="s">
        <v>208</v>
      </c>
      <c r="B27" s="30" t="str">
        <f aca="false">INDEX('Learner Roster'!$E$5:$E$44,MATCH(A27,'Learner Roster'!$C$5:$C$44,0))</f>
        <v>SLO-6GPBIRMAN2HPD7E20NPVJE4</v>
      </c>
      <c r="C27" s="30" t="s">
        <v>502</v>
      </c>
      <c r="D27" s="30" t="s">
        <v>503</v>
      </c>
    </row>
    <row r="28" customFormat="false" ht="15" hidden="false" customHeight="false" outlineLevel="0" collapsed="false">
      <c r="A28" s="30" t="s">
        <v>212</v>
      </c>
      <c r="B28" s="30" t="str">
        <f aca="false">INDEX('Learner Roster'!$E$5:$E$44,MATCH(A28,'Learner Roster'!$C$5:$C$44,0))</f>
        <v>SLO-6N58EIMC41P123ADUE34NPZ5A</v>
      </c>
      <c r="C28" s="30" t="s">
        <v>504</v>
      </c>
      <c r="D28" s="30" t="s">
        <v>505</v>
      </c>
    </row>
    <row r="29" customFormat="false" ht="15" hidden="false" customHeight="false" outlineLevel="0" collapsed="false">
      <c r="A29" s="30" t="s">
        <v>214</v>
      </c>
      <c r="B29" s="30" t="str">
        <f aca="false">INDEX('Learner Roster'!$E$5:$E$44,MATCH(A29,'Learner Roster'!$C$5:$C$44,0))</f>
        <v>SLO-RA69DX9HROTFEIB2P89A</v>
      </c>
      <c r="C29" s="30" t="s">
        <v>506</v>
      </c>
      <c r="D29" s="30" t="s">
        <v>507</v>
      </c>
    </row>
    <row r="30" customFormat="false" ht="15" hidden="false" customHeight="false" outlineLevel="0" collapsed="false">
      <c r="A30" s="30" t="s">
        <v>218</v>
      </c>
      <c r="B30" s="30" t="str">
        <f aca="false">INDEX('Learner Roster'!$E$5:$E$44,MATCH(A30,'Learner Roster'!$C$5:$C$44,0))</f>
        <v>SLO-Z1JF2RPF8W0XQ25KF659</v>
      </c>
      <c r="C30" s="30" t="s">
        <v>508</v>
      </c>
      <c r="D30" s="30" t="s">
        <v>509</v>
      </c>
    </row>
    <row r="31" customFormat="false" ht="15" hidden="false" customHeight="false" outlineLevel="0" collapsed="false">
      <c r="A31" s="30" t="s">
        <v>222</v>
      </c>
      <c r="B31" s="30" t="str">
        <f aca="false">INDEX('Learner Roster'!$E$5:$E$44,MATCH(A31,'Learner Roster'!$C$5:$C$44,0))</f>
        <v>SLO-QIJ3GVGQ8ST8FRF136RYXL9L</v>
      </c>
      <c r="C31" s="30" t="s">
        <v>510</v>
      </c>
      <c r="D31" s="30" t="s">
        <v>511</v>
      </c>
    </row>
    <row r="32" customFormat="false" ht="15" hidden="false" customHeight="false" outlineLevel="0" collapsed="false">
      <c r="A32" s="30" t="s">
        <v>204</v>
      </c>
      <c r="B32" s="30" t="str">
        <f aca="false">INDEX('Learner Roster'!$E$5:$E$44,MATCH(A32,'Learner Roster'!$C$5:$C$44,0))</f>
        <v>SLO-Z6TM2KJ9DKVWMK7GLRYMW5</v>
      </c>
      <c r="C32" s="30" t="s">
        <v>512</v>
      </c>
      <c r="D32" s="30" t="s">
        <v>513</v>
      </c>
    </row>
    <row r="33" customFormat="false" ht="15" hidden="false" customHeight="false" outlineLevel="0" collapsed="false">
      <c r="A33" s="30" t="s">
        <v>224</v>
      </c>
      <c r="B33" s="30" t="str">
        <f aca="false">INDEX('Learner Roster'!$E$5:$E$44,MATCH(A33,'Learner Roster'!$C$5:$C$44,0))</f>
        <v>SLO-OB918VMHNUEFD8QLKA4GDOJD</v>
      </c>
      <c r="C33" s="30" t="s">
        <v>514</v>
      </c>
      <c r="D33" s="30" t="s">
        <v>515</v>
      </c>
    </row>
    <row r="34" customFormat="false" ht="15" hidden="false" customHeight="false" outlineLevel="0" collapsed="false">
      <c r="A34" s="30" t="s">
        <v>224</v>
      </c>
      <c r="B34" s="30" t="str">
        <f aca="false">INDEX('Learner Roster'!$E$5:$E$44,MATCH(A34,'Learner Roster'!$C$5:$C$44,0))</f>
        <v>SLO-OB918VMHNUEFD8QLKA4GDOJD</v>
      </c>
      <c r="C34" s="30" t="s">
        <v>516</v>
      </c>
      <c r="D34" s="30" t="s">
        <v>517</v>
      </c>
    </row>
    <row r="35" customFormat="false" ht="15" hidden="false" customHeight="false" outlineLevel="0" collapsed="false">
      <c r="A35" s="30" t="s">
        <v>226</v>
      </c>
      <c r="B35" s="30" t="str">
        <f aca="false">INDEX('Learner Roster'!$E$5:$E$44,MATCH(A35,'Learner Roster'!$C$5:$C$44,0))</f>
        <v>SLO-0OWZ6RUEELX40CXY5HKN6BBEL</v>
      </c>
      <c r="C35" s="30" t="s">
        <v>518</v>
      </c>
      <c r="D35" s="30" t="s">
        <v>519</v>
      </c>
    </row>
    <row r="36" customFormat="false" ht="15" hidden="false" customHeight="false" outlineLevel="0" collapsed="false">
      <c r="A36" s="30" t="s">
        <v>228</v>
      </c>
      <c r="B36" s="30" t="str">
        <f aca="false">INDEX('Learner Roster'!$E$5:$E$44,MATCH(A36,'Learner Roster'!$C$5:$C$44,0))</f>
        <v>SLO-BWVK621ZK3QLU54J9XY4VAZ3N2</v>
      </c>
      <c r="C36" s="30" t="s">
        <v>520</v>
      </c>
      <c r="D36" s="30" t="s">
        <v>521</v>
      </c>
    </row>
    <row r="37" customFormat="false" ht="15" hidden="false" customHeight="false" outlineLevel="0" collapsed="false">
      <c r="A37" s="30" t="s">
        <v>224</v>
      </c>
      <c r="B37" s="30" t="str">
        <f aca="false">INDEX('Learner Roster'!$E$5:$E$44,MATCH(A37,'Learner Roster'!$C$5:$C$44,0))</f>
        <v>SLO-OB918VMHNUEFD8QLKA4GDOJD</v>
      </c>
      <c r="C37" s="30" t="s">
        <v>522</v>
      </c>
      <c r="D37" s="30" t="s">
        <v>523</v>
      </c>
    </row>
    <row r="38" customFormat="false" ht="15" hidden="false" customHeight="false" outlineLevel="0" collapsed="false">
      <c r="A38" s="30" t="s">
        <v>232</v>
      </c>
      <c r="B38" s="30" t="str">
        <f aca="false">INDEX('Learner Roster'!$E$5:$E$44,MATCH(A38,'Learner Roster'!$C$5:$C$44,0))</f>
        <v>SLO-8H70VTYKD3MTTMZCW8W5YF</v>
      </c>
      <c r="C38" s="30" t="s">
        <v>524</v>
      </c>
      <c r="D38" s="30" t="s">
        <v>525</v>
      </c>
    </row>
    <row r="39" customFormat="false" ht="15" hidden="false" customHeight="false" outlineLevel="0" collapsed="false">
      <c r="A39" s="30" t="s">
        <v>232</v>
      </c>
      <c r="B39" s="30" t="str">
        <f aca="false">INDEX('Learner Roster'!$E$5:$E$44,MATCH(A39,'Learner Roster'!$C$5:$C$44,0))</f>
        <v>SLO-8H70VTYKD3MTTMZCW8W5YF</v>
      </c>
      <c r="C39" s="30" t="s">
        <v>526</v>
      </c>
      <c r="D39" s="30" t="s">
        <v>527</v>
      </c>
    </row>
    <row r="40" customFormat="false" ht="15" hidden="false" customHeight="false" outlineLevel="0" collapsed="false">
      <c r="A40" s="30" t="s">
        <v>232</v>
      </c>
      <c r="B40" s="30" t="str">
        <f aca="false">INDEX('Learner Roster'!$E$5:$E$44,MATCH(A40,'Learner Roster'!$C$5:$C$44,0))</f>
        <v>SLO-8H70VTYKD3MTTMZCW8W5YF</v>
      </c>
      <c r="C40" s="30" t="s">
        <v>528</v>
      </c>
      <c r="D40" s="30" t="s">
        <v>529</v>
      </c>
    </row>
    <row r="41" customFormat="false" ht="15" hidden="false" customHeight="false" outlineLevel="0" collapsed="false">
      <c r="A41" s="30" t="s">
        <v>238</v>
      </c>
      <c r="B41" s="30" t="str">
        <f aca="false">INDEX('Learner Roster'!$E$5:$E$44,MATCH(A41,'Learner Roster'!$C$5:$C$44,0))</f>
        <v>SLO-ZB1J585Z0MRVVA3WWWSMN</v>
      </c>
      <c r="C41" s="30" t="s">
        <v>530</v>
      </c>
      <c r="D41" s="30" t="s">
        <v>531</v>
      </c>
    </row>
    <row r="42" customFormat="false" ht="15" hidden="false" customHeight="false" outlineLevel="0" collapsed="false">
      <c r="A42" s="30" t="s">
        <v>240</v>
      </c>
      <c r="B42" s="30" t="str">
        <f aca="false">INDEX('Learner Roster'!$E$5:$E$44,MATCH(A42,'Learner Roster'!$C$5:$C$44,0))</f>
        <v>SLO-VSIXVAUKOVQNW8DCCEIGKHY</v>
      </c>
      <c r="C42" s="30" t="s">
        <v>532</v>
      </c>
      <c r="D42" s="30" t="s">
        <v>533</v>
      </c>
    </row>
    <row r="43" customFormat="false" ht="15" hidden="false" customHeight="false" outlineLevel="0" collapsed="false">
      <c r="A43" s="30" t="s">
        <v>224</v>
      </c>
      <c r="B43" s="30" t="str">
        <f aca="false">INDEX('Learner Roster'!$E$5:$E$44,MATCH(A43,'Learner Roster'!$C$5:$C$44,0))</f>
        <v>SLO-OB918VMHNUEFD8QLKA4GDOJD</v>
      </c>
      <c r="C43" s="30" t="s">
        <v>534</v>
      </c>
      <c r="D43" s="30" t="s">
        <v>535</v>
      </c>
    </row>
    <row r="44" customFormat="false" ht="15" hidden="false" customHeight="false" outlineLevel="0" collapsed="false">
      <c r="A44" s="30" t="s">
        <v>224</v>
      </c>
      <c r="B44" s="30" t="str">
        <f aca="false">INDEX('Learner Roster'!$E$5:$E$44,MATCH(A44,'Learner Roster'!$C$5:$C$44,0))</f>
        <v>SLO-OB918VMHNUEFD8QLKA4GDOJD</v>
      </c>
      <c r="C44" s="30" t="s">
        <v>536</v>
      </c>
      <c r="D44" s="30" t="s">
        <v>537</v>
      </c>
    </row>
    <row r="45" customFormat="false" ht="15" hidden="false" customHeight="false" outlineLevel="0" collapsed="false">
      <c r="A45" s="30" t="s">
        <v>232</v>
      </c>
      <c r="B45" s="30" t="str">
        <f aca="false">INDEX('Learner Roster'!$E$5:$E$44,MATCH(A45,'Learner Roster'!$C$5:$C$44,0))</f>
        <v>SLO-8H70VTYKD3MTTMZCW8W5YF</v>
      </c>
      <c r="C45" s="30" t="s">
        <v>538</v>
      </c>
      <c r="D45" s="30" t="s">
        <v>539</v>
      </c>
    </row>
    <row r="46" customFormat="false" ht="15" hidden="false" customHeight="false" outlineLevel="0" collapsed="false">
      <c r="A46" s="30" t="s">
        <v>232</v>
      </c>
      <c r="B46" s="30" t="str">
        <f aca="false">INDEX('Learner Roster'!$E$5:$E$44,MATCH(A46,'Learner Roster'!$C$5:$C$44,0))</f>
        <v>SLO-8H70VTYKD3MTTMZCW8W5YF</v>
      </c>
      <c r="C46" s="30" t="s">
        <v>535</v>
      </c>
      <c r="D46" s="30" t="s">
        <v>540</v>
      </c>
    </row>
    <row r="47" customFormat="false" ht="15" hidden="false" customHeight="false" outlineLevel="0" collapsed="false">
      <c r="A47" s="30" t="s">
        <v>234</v>
      </c>
      <c r="B47" s="30" t="str">
        <f aca="false">INDEX('Learner Roster'!$E$5:$E$44,MATCH(A47,'Learner Roster'!$C$5:$C$44,0))</f>
        <v>SLO-M61KA3YETXSWWO2QM8IW1WUR</v>
      </c>
      <c r="C47" s="30" t="s">
        <v>541</v>
      </c>
      <c r="D47" s="30" t="s">
        <v>542</v>
      </c>
    </row>
    <row r="48" customFormat="false" ht="15" hidden="false" customHeight="false" outlineLevel="0" collapsed="false">
      <c r="A48" s="30" t="s">
        <v>236</v>
      </c>
      <c r="B48" s="30" t="str">
        <f aca="false">INDEX('Learner Roster'!$E$5:$E$44,MATCH(A48,'Learner Roster'!$C$5:$C$44,0))</f>
        <v>SLO-1NTR2AJOJDILO4L4YLJPZJ7VB</v>
      </c>
      <c r="C48" s="30" t="s">
        <v>543</v>
      </c>
      <c r="D48" s="30" t="s">
        <v>544</v>
      </c>
    </row>
    <row r="49" customFormat="false" ht="15" hidden="false" customHeight="false" outlineLevel="0" collapsed="false">
      <c r="A49" s="30" t="s">
        <v>240</v>
      </c>
      <c r="B49" s="30" t="str">
        <f aca="false">INDEX('Learner Roster'!$E$5:$E$44,MATCH(A49,'Learner Roster'!$C$5:$C$44,0))</f>
        <v>SLO-VSIXVAUKOVQNW8DCCEIGKHY</v>
      </c>
      <c r="C49" s="30" t="s">
        <v>545</v>
      </c>
      <c r="D49" s="30" t="s">
        <v>546</v>
      </c>
    </row>
    <row r="50" customFormat="false" ht="15" hidden="false" customHeight="false" outlineLevel="0" collapsed="false">
      <c r="A50" s="30" t="s">
        <v>234</v>
      </c>
      <c r="B50" s="30" t="str">
        <f aca="false">INDEX('Learner Roster'!$E$5:$E$44,MATCH(A50,'Learner Roster'!$C$5:$C$44,0))</f>
        <v>SLO-M61KA3YETXSWWO2QM8IW1WUR</v>
      </c>
      <c r="C50" s="30" t="s">
        <v>547</v>
      </c>
      <c r="D50" s="30" t="s">
        <v>548</v>
      </c>
    </row>
    <row r="51" customFormat="false" ht="15" hidden="false" customHeight="false" outlineLevel="0" collapsed="false">
      <c r="A51" s="30" t="s">
        <v>236</v>
      </c>
      <c r="B51" s="30" t="str">
        <f aca="false">INDEX('Learner Roster'!$E$5:$E$44,MATCH(A51,'Learner Roster'!$C$5:$C$44,0))</f>
        <v>SLO-1NTR2AJOJDILO4L4YLJPZJ7VB</v>
      </c>
      <c r="C51" s="30" t="s">
        <v>547</v>
      </c>
      <c r="D51" s="30" t="s">
        <v>549</v>
      </c>
    </row>
    <row r="52" customFormat="false" ht="15" hidden="false" customHeight="false" outlineLevel="0" collapsed="false">
      <c r="A52" s="30" t="s">
        <v>236</v>
      </c>
      <c r="B52" s="30" t="str">
        <f aca="false">INDEX('Learner Roster'!$E$5:$E$44,MATCH(A52,'Learner Roster'!$C$5:$C$44,0))</f>
        <v>SLO-1NTR2AJOJDILO4L4YLJPZJ7VB</v>
      </c>
      <c r="C52" s="30" t="s">
        <v>550</v>
      </c>
      <c r="D52" s="30" t="s">
        <v>551</v>
      </c>
    </row>
    <row r="53" customFormat="false" ht="15" hidden="false" customHeight="false" outlineLevel="0" collapsed="false">
      <c r="A53" s="30" t="s">
        <v>238</v>
      </c>
      <c r="B53" s="30" t="str">
        <f aca="false">INDEX('Learner Roster'!$E$5:$E$44,MATCH(A53,'Learner Roster'!$C$5:$C$44,0))</f>
        <v>SLO-ZB1J585Z0MRVVA3WWWSMN</v>
      </c>
      <c r="C53" s="30" t="s">
        <v>552</v>
      </c>
      <c r="D53" s="30" t="s">
        <v>553</v>
      </c>
    </row>
    <row r="54" customFormat="false" ht="15" hidden="false" customHeight="false" outlineLevel="0" collapsed="false">
      <c r="A54" s="30" t="s">
        <v>238</v>
      </c>
      <c r="B54" s="30" t="str">
        <f aca="false">INDEX('Learner Roster'!$E$5:$E$44,MATCH(A54,'Learner Roster'!$C$5:$C$44,0))</f>
        <v>SLO-ZB1J585Z0MRVVA3WWWSMN</v>
      </c>
      <c r="C54" s="30" t="s">
        <v>554</v>
      </c>
      <c r="D54" s="30" t="s">
        <v>555</v>
      </c>
    </row>
    <row r="55" customFormat="false" ht="15" hidden="false" customHeight="false" outlineLevel="0" collapsed="false">
      <c r="A55" s="30" t="s">
        <v>240</v>
      </c>
      <c r="B55" s="30" t="str">
        <f aca="false">INDEX('Learner Roster'!$E$5:$E$44,MATCH(A55,'Learner Roster'!$C$5:$C$44,0))</f>
        <v>SLO-VSIXVAUKOVQNW8DCCEIGKHY</v>
      </c>
      <c r="C55" s="30" t="s">
        <v>556</v>
      </c>
      <c r="D55" s="30" t="s">
        <v>554</v>
      </c>
    </row>
    <row r="56" customFormat="false" ht="15" hidden="false" customHeight="false" outlineLevel="0" collapsed="false">
      <c r="A56" s="30" t="s">
        <v>232</v>
      </c>
      <c r="B56" s="30" t="str">
        <f aca="false">INDEX('Learner Roster'!$E$5:$E$44,MATCH(A56,'Learner Roster'!$C$5:$C$44,0))</f>
        <v>SLO-8H70VTYKD3MTTMZCW8W5YF</v>
      </c>
      <c r="C56" s="30" t="s">
        <v>557</v>
      </c>
      <c r="D56" s="30" t="s">
        <v>558</v>
      </c>
    </row>
    <row r="57" customFormat="false" ht="15" hidden="false" customHeight="false" outlineLevel="0" collapsed="false">
      <c r="A57" s="30" t="s">
        <v>232</v>
      </c>
      <c r="B57" s="30" t="str">
        <f aca="false">INDEX('Learner Roster'!$E$5:$E$44,MATCH(A57,'Learner Roster'!$C$5:$C$44,0))</f>
        <v>SLO-8H70VTYKD3MTTMZCW8W5YF</v>
      </c>
      <c r="C57" s="30" t="s">
        <v>559</v>
      </c>
      <c r="D57" s="30" t="s">
        <v>560</v>
      </c>
    </row>
    <row r="58" customFormat="false" ht="15" hidden="false" customHeight="false" outlineLevel="0" collapsed="false">
      <c r="A58" s="30" t="s">
        <v>232</v>
      </c>
      <c r="B58" s="30" t="str">
        <f aca="false">INDEX('Learner Roster'!$E$5:$E$44,MATCH(A58,'Learner Roster'!$C$5:$C$44,0))</f>
        <v>SLO-8H70VTYKD3MTTMZCW8W5YF</v>
      </c>
      <c r="C58" s="30" t="s">
        <v>561</v>
      </c>
      <c r="D58" s="30" t="s">
        <v>562</v>
      </c>
    </row>
    <row r="59" customFormat="false" ht="15" hidden="false" customHeight="false" outlineLevel="0" collapsed="false">
      <c r="A59" s="30" t="s">
        <v>234</v>
      </c>
      <c r="B59" s="30" t="str">
        <f aca="false">INDEX('Learner Roster'!$E$5:$E$44,MATCH(A59,'Learner Roster'!$C$5:$C$44,0))</f>
        <v>SLO-M61KA3YETXSWWO2QM8IW1WUR</v>
      </c>
      <c r="C59" s="30" t="s">
        <v>563</v>
      </c>
      <c r="D59" s="30" t="s">
        <v>558</v>
      </c>
    </row>
    <row r="60" customFormat="false" ht="15" hidden="false" customHeight="false" outlineLevel="0" collapsed="false">
      <c r="A60" s="30" t="s">
        <v>234</v>
      </c>
      <c r="B60" s="30" t="str">
        <f aca="false">INDEX('Learner Roster'!$E$5:$E$44,MATCH(A60,'Learner Roster'!$C$5:$C$44,0))</f>
        <v>SLO-M61KA3YETXSWWO2QM8IW1WUR</v>
      </c>
      <c r="C60" s="30" t="s">
        <v>564</v>
      </c>
      <c r="D60" s="30" t="s">
        <v>565</v>
      </c>
    </row>
    <row r="61" customFormat="false" ht="15" hidden="false" customHeight="false" outlineLevel="0" collapsed="false">
      <c r="A61" s="30" t="s">
        <v>234</v>
      </c>
      <c r="B61" s="30" t="str">
        <f aca="false">INDEX('Learner Roster'!$E$5:$E$44,MATCH(A61,'Learner Roster'!$C$5:$C$44,0))</f>
        <v>SLO-M61KA3YETXSWWO2QM8IW1WUR</v>
      </c>
      <c r="C61" s="30" t="s">
        <v>566</v>
      </c>
      <c r="D61" s="30" t="s">
        <v>567</v>
      </c>
    </row>
    <row r="62" customFormat="false" ht="15" hidden="false" customHeight="false" outlineLevel="0" collapsed="false">
      <c r="A62" s="30" t="s">
        <v>240</v>
      </c>
      <c r="B62" s="30" t="str">
        <f aca="false">INDEX('Learner Roster'!$E$5:$E$44,MATCH(A62,'Learner Roster'!$C$5:$C$44,0))</f>
        <v>SLO-VSIXVAUKOVQNW8DCCEIGKHY</v>
      </c>
      <c r="C62" s="30" t="s">
        <v>564</v>
      </c>
      <c r="D62" s="30" t="s">
        <v>568</v>
      </c>
    </row>
    <row r="63" customFormat="false" ht="15" hidden="false" customHeight="false" outlineLevel="0" collapsed="false">
      <c r="A63" s="30" t="s">
        <v>240</v>
      </c>
      <c r="B63" s="30" t="str">
        <f aca="false">INDEX('Learner Roster'!$E$5:$E$44,MATCH(A63,'Learner Roster'!$C$5:$C$44,0))</f>
        <v>SLO-VSIXVAUKOVQNW8DCCEIGKHY</v>
      </c>
      <c r="C63" s="30" t="s">
        <v>559</v>
      </c>
      <c r="D63" s="30" t="s">
        <v>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7" min="6" style="0" width="48"/>
    <col collapsed="false" customWidth="true" hidden="false" outlineLevel="0" max="9" min="8" style="0" width="14"/>
  </cols>
  <sheetData>
    <row r="1" customFormat="false" ht="19.7" hidden="false" customHeight="false" outlineLevel="0" collapsed="false">
      <c r="A1" s="1" t="s">
        <v>570</v>
      </c>
    </row>
    <row r="2" customFormat="false" ht="15" hidden="false" customHeight="false" outlineLevel="0" collapsed="false">
      <c r="A2" s="2" t="s">
        <v>571</v>
      </c>
    </row>
    <row r="4" customFormat="false" ht="15" hidden="false" customHeight="false" outlineLevel="0" collapsed="false">
      <c r="A4" s="3" t="s">
        <v>19</v>
      </c>
      <c r="B4" s="3" t="s">
        <v>20</v>
      </c>
    </row>
    <row r="5" customFormat="false" ht="15" hidden="false" customHeight="false" outlineLevel="0" collapsed="false">
      <c r="A5" s="7" t="s">
        <v>572</v>
      </c>
      <c r="B5" s="7" t="n">
        <f aca="false">COUNTA(A11:A33)</f>
        <v>23</v>
      </c>
    </row>
    <row r="6" customFormat="false" ht="15" hidden="false" customHeight="false" outlineLevel="0" collapsed="false">
      <c r="A6" s="7" t="s">
        <v>573</v>
      </c>
      <c r="B6" s="7" t="n">
        <f aca="false">SUM(H11:H33)</f>
        <v>59</v>
      </c>
    </row>
    <row r="7" customFormat="false" ht="15" hidden="false" customHeight="false" outlineLevel="0" collapsed="false">
      <c r="A7" s="7" t="s">
        <v>25</v>
      </c>
      <c r="B7" s="7" t="n">
        <f aca="false">COUNTIF(H11:H33,"&gt;1")</f>
        <v>14</v>
      </c>
    </row>
    <row r="8" customFormat="false" ht="15" hidden="false" customHeight="false" outlineLevel="0" collapsed="false">
      <c r="A8" s="7" t="s">
        <v>574</v>
      </c>
      <c r="B8" s="7" t="n">
        <f aca="false">MAX(H11:H33)</f>
        <v>8</v>
      </c>
    </row>
    <row r="10" customFormat="false" ht="23.85" hidden="false" customHeight="false" outlineLevel="0" collapsed="false">
      <c r="A10" s="3" t="s">
        <v>243</v>
      </c>
      <c r="B10" s="3" t="s">
        <v>163</v>
      </c>
      <c r="C10" s="3" t="s">
        <v>164</v>
      </c>
      <c r="D10" s="3" t="s">
        <v>153</v>
      </c>
      <c r="E10" s="3" t="s">
        <v>43</v>
      </c>
      <c r="F10" s="3" t="s">
        <v>575</v>
      </c>
      <c r="G10" s="3" t="s">
        <v>576</v>
      </c>
      <c r="H10" s="3" t="s">
        <v>577</v>
      </c>
      <c r="I10" s="3" t="s">
        <v>578</v>
      </c>
    </row>
    <row r="11" customFormat="false" ht="33" hidden="false" customHeight="true" outlineLevel="0" collapsed="false">
      <c r="A11" s="7" t="s">
        <v>88</v>
      </c>
      <c r="B11" s="7" t="s">
        <v>167</v>
      </c>
      <c r="C11" s="7" t="s">
        <v>168</v>
      </c>
      <c r="D11" s="7" t="s">
        <v>156</v>
      </c>
      <c r="E11" s="7" t="str">
        <f aca="false">INDEX(Sessions!$B$5:$B$8,MATCH(D11,Sessions!$A$5:$A$8,0))</f>
        <v>1-Day Workshop</v>
      </c>
      <c r="F11" s="7" t="s">
        <v>579</v>
      </c>
      <c r="G11" s="7" t="s">
        <v>580</v>
      </c>
      <c r="H11" s="26" t="n">
        <f aca="false">COUNTIF('Processed Instances'!$C$5:$C$63,B11)</f>
        <v>2</v>
      </c>
      <c r="I11" s="7" t="n">
        <f aca="false">SUMIF('Processed Instances'!$C$5:$C$63,B11,'Processed Instances'!$J$5:$J$63)</f>
        <v>90</v>
      </c>
    </row>
    <row r="12" customFormat="false" ht="18" hidden="false" customHeight="true" outlineLevel="0" collapsed="false">
      <c r="A12" s="7" t="s">
        <v>251</v>
      </c>
      <c r="B12" s="7" t="s">
        <v>171</v>
      </c>
      <c r="C12" s="7" t="s">
        <v>172</v>
      </c>
      <c r="D12" s="7" t="s">
        <v>156</v>
      </c>
      <c r="E12" s="7" t="str">
        <f aca="false">INDEX(Sessions!$B$5:$B$8,MATCH(D12,Sessions!$A$5:$A$8,0))</f>
        <v>1-Day Workshop</v>
      </c>
      <c r="F12" s="7" t="s">
        <v>463</v>
      </c>
      <c r="G12" s="7" t="s">
        <v>464</v>
      </c>
      <c r="H12" s="26" t="n">
        <f aca="false">COUNTIF('Processed Instances'!$C$5:$C$63,B12)</f>
        <v>1</v>
      </c>
      <c r="I12" s="7" t="n">
        <f aca="false">SUMIF('Processed Instances'!$C$5:$C$63,B12,'Processed Instances'!$J$5:$J$63)</f>
        <v>15</v>
      </c>
    </row>
    <row r="13" customFormat="false" ht="33" hidden="false" customHeight="true" outlineLevel="0" collapsed="false">
      <c r="A13" s="7" t="s">
        <v>261</v>
      </c>
      <c r="B13" s="7" t="s">
        <v>181</v>
      </c>
      <c r="C13" s="7" t="s">
        <v>182</v>
      </c>
      <c r="D13" s="7" t="s">
        <v>156</v>
      </c>
      <c r="E13" s="7" t="str">
        <f aca="false">INDEX(Sessions!$B$5:$B$8,MATCH(D13,Sessions!$A$5:$A$8,0))</f>
        <v>1-Day Workshop</v>
      </c>
      <c r="F13" s="7" t="s">
        <v>581</v>
      </c>
      <c r="G13" s="7" t="s">
        <v>582</v>
      </c>
      <c r="H13" s="26" t="n">
        <f aca="false">COUNTIF('Processed Instances'!$C$5:$C$63,B13)</f>
        <v>2</v>
      </c>
      <c r="I13" s="7" t="n">
        <f aca="false">SUMIF('Processed Instances'!$C$5:$C$63,B13,'Processed Instances'!$J$5:$J$63)</f>
        <v>90</v>
      </c>
    </row>
    <row r="14" customFormat="false" ht="18" hidden="false" customHeight="true" outlineLevel="0" collapsed="false">
      <c r="A14" s="7" t="s">
        <v>265</v>
      </c>
      <c r="B14" s="7" t="s">
        <v>185</v>
      </c>
      <c r="C14" s="7" t="s">
        <v>186</v>
      </c>
      <c r="D14" s="7" t="s">
        <v>157</v>
      </c>
      <c r="E14" s="7" t="str">
        <f aca="false">INDEX(Sessions!$B$5:$B$8,MATCH(D14,Sessions!$A$5:$A$8,0))</f>
        <v>2-Day Bootcamp</v>
      </c>
      <c r="F14" s="7" t="s">
        <v>473</v>
      </c>
      <c r="G14" s="7" t="s">
        <v>474</v>
      </c>
      <c r="H14" s="26" t="n">
        <f aca="false">COUNTIF('Processed Instances'!$C$5:$C$63,B14)</f>
        <v>1</v>
      </c>
      <c r="I14" s="7" t="n">
        <f aca="false">SUMIF('Processed Instances'!$C$5:$C$63,B14,'Processed Instances'!$J$5:$J$63)</f>
        <v>75</v>
      </c>
    </row>
    <row r="15" customFormat="false" ht="18" hidden="false" customHeight="true" outlineLevel="0" collapsed="false">
      <c r="A15" s="7" t="s">
        <v>271</v>
      </c>
      <c r="B15" s="7" t="s">
        <v>191</v>
      </c>
      <c r="C15" s="7" t="s">
        <v>192</v>
      </c>
      <c r="D15" s="7" t="s">
        <v>157</v>
      </c>
      <c r="E15" s="7" t="str">
        <f aca="false">INDEX(Sessions!$B$5:$B$8,MATCH(D15,Sessions!$A$5:$A$8,0))</f>
        <v>2-Day Bootcamp</v>
      </c>
      <c r="F15" s="7" t="s">
        <v>475</v>
      </c>
      <c r="G15" s="7" t="s">
        <v>476</v>
      </c>
      <c r="H15" s="26" t="n">
        <f aca="false">COUNTIF('Processed Instances'!$C$5:$C$63,B15)</f>
        <v>1</v>
      </c>
      <c r="I15" s="7" t="n">
        <f aca="false">SUMIF('Processed Instances'!$C$5:$C$63,B15,'Processed Instances'!$J$5:$J$63)</f>
        <v>60</v>
      </c>
    </row>
    <row r="16" customFormat="false" ht="33" hidden="false" customHeight="true" outlineLevel="0" collapsed="false">
      <c r="A16" s="7" t="s">
        <v>86</v>
      </c>
      <c r="B16" s="7" t="s">
        <v>199</v>
      </c>
      <c r="C16" s="7" t="s">
        <v>200</v>
      </c>
      <c r="D16" s="7" t="s">
        <v>157</v>
      </c>
      <c r="E16" s="7" t="str">
        <f aca="false">INDEX(Sessions!$B$5:$B$8,MATCH(D16,Sessions!$A$5:$A$8,0))</f>
        <v>2-Day Bootcamp</v>
      </c>
      <c r="F16" s="7" t="s">
        <v>583</v>
      </c>
      <c r="G16" s="7" t="s">
        <v>584</v>
      </c>
      <c r="H16" s="26" t="n">
        <f aca="false">COUNTIF('Processed Instances'!$C$5:$C$63,B16)</f>
        <v>3</v>
      </c>
      <c r="I16" s="7" t="n">
        <f aca="false">SUMIF('Processed Instances'!$C$5:$C$63,B16,'Processed Instances'!$J$5:$J$63)</f>
        <v>120</v>
      </c>
    </row>
    <row r="17" customFormat="false" ht="48" hidden="false" customHeight="true" outlineLevel="0" collapsed="false">
      <c r="A17" s="7" t="s">
        <v>83</v>
      </c>
      <c r="B17" s="7" t="s">
        <v>213</v>
      </c>
      <c r="C17" s="7" t="s">
        <v>214</v>
      </c>
      <c r="D17" s="7" t="s">
        <v>158</v>
      </c>
      <c r="E17" s="7" t="str">
        <f aca="false">INDEX(Sessions!$B$5:$B$8,MATCH(D17,Sessions!$A$5:$A$8,0))</f>
        <v>4-Day Program</v>
      </c>
      <c r="F17" s="7" t="s">
        <v>585</v>
      </c>
      <c r="G17" s="7" t="s">
        <v>586</v>
      </c>
      <c r="H17" s="26" t="n">
        <f aca="false">COUNTIF('Processed Instances'!$C$5:$C$63,B17)</f>
        <v>4</v>
      </c>
      <c r="I17" s="7" t="n">
        <f aca="false">SUMIF('Processed Instances'!$C$5:$C$63,B17,'Processed Instances'!$J$5:$J$63)</f>
        <v>170</v>
      </c>
    </row>
    <row r="18" customFormat="false" ht="18" hidden="false" customHeight="true" outlineLevel="0" collapsed="false">
      <c r="A18" s="7" t="s">
        <v>296</v>
      </c>
      <c r="B18" s="7" t="s">
        <v>215</v>
      </c>
      <c r="C18" s="7" t="s">
        <v>216</v>
      </c>
      <c r="D18" s="7" t="s">
        <v>158</v>
      </c>
      <c r="E18" s="7" t="str">
        <f aca="false">INDEX(Sessions!$B$5:$B$8,MATCH(D18,Sessions!$A$5:$A$8,0))</f>
        <v>4-Day Program</v>
      </c>
      <c r="F18" s="7" t="s">
        <v>479</v>
      </c>
      <c r="G18" s="7" t="s">
        <v>480</v>
      </c>
      <c r="H18" s="26" t="n">
        <f aca="false">COUNTIF('Processed Instances'!$C$5:$C$63,B18)</f>
        <v>1</v>
      </c>
      <c r="I18" s="7" t="n">
        <f aca="false">SUMIF('Processed Instances'!$C$5:$C$63,B18,'Processed Instances'!$J$5:$J$63)</f>
        <v>30</v>
      </c>
    </row>
    <row r="19" customFormat="false" ht="18" hidden="false" customHeight="true" outlineLevel="0" collapsed="false">
      <c r="A19" s="7" t="s">
        <v>298</v>
      </c>
      <c r="B19" s="7" t="s">
        <v>217</v>
      </c>
      <c r="C19" s="7" t="s">
        <v>218</v>
      </c>
      <c r="D19" s="7" t="s">
        <v>158</v>
      </c>
      <c r="E19" s="7" t="str">
        <f aca="false">INDEX(Sessions!$B$5:$B$8,MATCH(D19,Sessions!$A$5:$A$8,0))</f>
        <v>4-Day Program</v>
      </c>
      <c r="F19" s="7" t="s">
        <v>508</v>
      </c>
      <c r="G19" s="7" t="s">
        <v>509</v>
      </c>
      <c r="H19" s="26" t="n">
        <f aca="false">COUNTIF('Processed Instances'!$C$5:$C$63,B19)</f>
        <v>1</v>
      </c>
      <c r="I19" s="7" t="n">
        <f aca="false">SUMIF('Processed Instances'!$C$5:$C$63,B19,'Processed Instances'!$J$5:$J$63)</f>
        <v>60</v>
      </c>
    </row>
    <row r="20" customFormat="false" ht="33" hidden="false" customHeight="true" outlineLevel="0" collapsed="false">
      <c r="A20" s="7" t="s">
        <v>89</v>
      </c>
      <c r="B20" s="7" t="s">
        <v>221</v>
      </c>
      <c r="C20" s="7" t="s">
        <v>222</v>
      </c>
      <c r="D20" s="7" t="s">
        <v>158</v>
      </c>
      <c r="E20" s="7" t="str">
        <f aca="false">INDEX(Sessions!$B$5:$B$8,MATCH(D20,Sessions!$A$5:$A$8,0))</f>
        <v>4-Day Program</v>
      </c>
      <c r="F20" s="7" t="s">
        <v>587</v>
      </c>
      <c r="G20" s="7" t="s">
        <v>588</v>
      </c>
      <c r="H20" s="26" t="n">
        <f aca="false">COUNTIF('Processed Instances'!$C$5:$C$63,B20)</f>
        <v>3</v>
      </c>
      <c r="I20" s="7" t="n">
        <f aca="false">SUMIF('Processed Instances'!$C$5:$C$63,B20,'Processed Instances'!$J$5:$J$63)</f>
        <v>90</v>
      </c>
    </row>
    <row r="21" customFormat="false" ht="33" hidden="false" customHeight="true" outlineLevel="0" collapsed="false">
      <c r="A21" s="7" t="s">
        <v>286</v>
      </c>
      <c r="B21" s="7" t="s">
        <v>203</v>
      </c>
      <c r="C21" s="7" t="s">
        <v>204</v>
      </c>
      <c r="D21" s="7" t="s">
        <v>158</v>
      </c>
      <c r="E21" s="7" t="str">
        <f aca="false">INDEX(Sessions!$B$5:$B$8,MATCH(D21,Sessions!$A$5:$A$8,0))</f>
        <v>4-Day Program</v>
      </c>
      <c r="F21" s="7" t="s">
        <v>589</v>
      </c>
      <c r="G21" s="7" t="s">
        <v>590</v>
      </c>
      <c r="H21" s="26" t="n">
        <f aca="false">COUNTIF('Processed Instances'!$C$5:$C$63,B21)</f>
        <v>2</v>
      </c>
      <c r="I21" s="7" t="n">
        <f aca="false">SUMIF('Processed Instances'!$C$5:$C$63,B21,'Processed Instances'!$J$5:$J$63)</f>
        <v>70</v>
      </c>
    </row>
    <row r="22" customFormat="false" ht="18" hidden="false" customHeight="true" outlineLevel="0" collapsed="false">
      <c r="A22" s="7" t="s">
        <v>288</v>
      </c>
      <c r="B22" s="7" t="s">
        <v>205</v>
      </c>
      <c r="C22" s="7" t="s">
        <v>206</v>
      </c>
      <c r="D22" s="7" t="s">
        <v>158</v>
      </c>
      <c r="E22" s="7" t="str">
        <f aca="false">INDEX(Sessions!$B$5:$B$8,MATCH(D22,Sessions!$A$5:$A$8,0))</f>
        <v>4-Day Program</v>
      </c>
      <c r="F22" s="7" t="s">
        <v>491</v>
      </c>
      <c r="G22" s="7" t="s">
        <v>492</v>
      </c>
      <c r="H22" s="26" t="n">
        <f aca="false">COUNTIF('Processed Instances'!$C$5:$C$63,B22)</f>
        <v>1</v>
      </c>
      <c r="I22" s="7" t="n">
        <f aca="false">SUMIF('Processed Instances'!$C$5:$C$63,B22,'Processed Instances'!$J$5:$J$63)</f>
        <v>40</v>
      </c>
    </row>
    <row r="23" customFormat="false" ht="33" hidden="false" customHeight="true" outlineLevel="0" collapsed="false">
      <c r="A23" s="7" t="s">
        <v>84</v>
      </c>
      <c r="B23" s="7" t="s">
        <v>207</v>
      </c>
      <c r="C23" s="7" t="s">
        <v>208</v>
      </c>
      <c r="D23" s="7" t="s">
        <v>158</v>
      </c>
      <c r="E23" s="7" t="str">
        <f aca="false">INDEX(Sessions!$B$5:$B$8,MATCH(D23,Sessions!$A$5:$A$8,0))</f>
        <v>4-Day Program</v>
      </c>
      <c r="F23" s="7" t="s">
        <v>591</v>
      </c>
      <c r="G23" s="7" t="s">
        <v>592</v>
      </c>
      <c r="H23" s="26" t="n">
        <f aca="false">COUNTIF('Processed Instances'!$C$5:$C$63,B23)</f>
        <v>3</v>
      </c>
      <c r="I23" s="7" t="n">
        <f aca="false">SUMIF('Processed Instances'!$C$5:$C$63,B23,'Processed Instances'!$J$5:$J$63)</f>
        <v>165</v>
      </c>
    </row>
    <row r="24" customFormat="false" ht="33" hidden="false" customHeight="true" outlineLevel="0" collapsed="false">
      <c r="A24" s="7" t="s">
        <v>291</v>
      </c>
      <c r="B24" s="7" t="s">
        <v>209</v>
      </c>
      <c r="C24" s="7" t="s">
        <v>210</v>
      </c>
      <c r="D24" s="7" t="s">
        <v>158</v>
      </c>
      <c r="E24" s="7" t="str">
        <f aca="false">INDEX(Sessions!$B$5:$B$8,MATCH(D24,Sessions!$A$5:$A$8,0))</f>
        <v>4-Day Program</v>
      </c>
      <c r="F24" s="7" t="s">
        <v>593</v>
      </c>
      <c r="G24" s="7" t="s">
        <v>594</v>
      </c>
      <c r="H24" s="26" t="n">
        <f aca="false">COUNTIF('Processed Instances'!$C$5:$C$63,B24)</f>
        <v>2</v>
      </c>
      <c r="I24" s="7" t="n">
        <f aca="false">SUMIF('Processed Instances'!$C$5:$C$63,B24,'Processed Instances'!$J$5:$J$63)</f>
        <v>30</v>
      </c>
    </row>
    <row r="25" customFormat="false" ht="18" hidden="false" customHeight="true" outlineLevel="0" collapsed="false">
      <c r="A25" s="7" t="s">
        <v>293</v>
      </c>
      <c r="B25" s="7" t="s">
        <v>211</v>
      </c>
      <c r="C25" s="7" t="s">
        <v>212</v>
      </c>
      <c r="D25" s="7" t="s">
        <v>158</v>
      </c>
      <c r="E25" s="7" t="str">
        <f aca="false">INDEX(Sessions!$B$5:$B$8,MATCH(D25,Sessions!$A$5:$A$8,0))</f>
        <v>4-Day Program</v>
      </c>
      <c r="F25" s="7" t="s">
        <v>504</v>
      </c>
      <c r="G25" s="7" t="s">
        <v>505</v>
      </c>
      <c r="H25" s="26" t="n">
        <f aca="false">COUNTIF('Processed Instances'!$C$5:$C$63,B25)</f>
        <v>1</v>
      </c>
      <c r="I25" s="7" t="n">
        <f aca="false">SUMIF('Processed Instances'!$C$5:$C$63,B25,'Processed Instances'!$J$5:$J$63)</f>
        <v>15</v>
      </c>
    </row>
    <row r="26" customFormat="false" ht="48" hidden="false" customHeight="true" outlineLevel="0" collapsed="false">
      <c r="A26" s="7" t="s">
        <v>82</v>
      </c>
      <c r="B26" s="7" t="s">
        <v>223</v>
      </c>
      <c r="C26" s="7" t="s">
        <v>224</v>
      </c>
      <c r="D26" s="7" t="s">
        <v>159</v>
      </c>
      <c r="E26" s="7" t="str">
        <f aca="false">INDEX(Sessions!$B$5:$B$8,MATCH(D26,Sessions!$A$5:$A$8,0))</f>
        <v>5-Day Academy</v>
      </c>
      <c r="F26" s="7" t="s">
        <v>595</v>
      </c>
      <c r="G26" s="7" t="s">
        <v>596</v>
      </c>
      <c r="H26" s="26" t="n">
        <f aca="false">COUNTIF('Processed Instances'!$C$5:$C$63,B26)</f>
        <v>5</v>
      </c>
      <c r="I26" s="7" t="n">
        <f aca="false">SUMIF('Processed Instances'!$C$5:$C$63,B26,'Processed Instances'!$J$5:$J$63)</f>
        <v>200</v>
      </c>
    </row>
    <row r="27" customFormat="false" ht="18" hidden="false" customHeight="true" outlineLevel="0" collapsed="false">
      <c r="A27" s="7" t="s">
        <v>304</v>
      </c>
      <c r="B27" s="7" t="s">
        <v>225</v>
      </c>
      <c r="C27" s="7" t="s">
        <v>226</v>
      </c>
      <c r="D27" s="7" t="s">
        <v>159</v>
      </c>
      <c r="E27" s="7" t="str">
        <f aca="false">INDEX(Sessions!$B$5:$B$8,MATCH(D27,Sessions!$A$5:$A$8,0))</f>
        <v>5-Day Academy</v>
      </c>
      <c r="F27" s="7" t="s">
        <v>518</v>
      </c>
      <c r="G27" s="7" t="s">
        <v>519</v>
      </c>
      <c r="H27" s="26" t="n">
        <f aca="false">COUNTIF('Processed Instances'!$C$5:$C$63,B27)</f>
        <v>1</v>
      </c>
      <c r="I27" s="7" t="n">
        <f aca="false">SUMIF('Processed Instances'!$C$5:$C$63,B27,'Processed Instances'!$J$5:$J$63)</f>
        <v>75</v>
      </c>
    </row>
    <row r="28" customFormat="false" ht="18" hidden="false" customHeight="true" outlineLevel="0" collapsed="false">
      <c r="A28" s="7" t="s">
        <v>306</v>
      </c>
      <c r="B28" s="7" t="s">
        <v>227</v>
      </c>
      <c r="C28" s="7" t="s">
        <v>228</v>
      </c>
      <c r="D28" s="7" t="s">
        <v>159</v>
      </c>
      <c r="E28" s="7" t="str">
        <f aca="false">INDEX(Sessions!$B$5:$B$8,MATCH(D28,Sessions!$A$5:$A$8,0))</f>
        <v>5-Day Academy</v>
      </c>
      <c r="F28" s="7" t="s">
        <v>520</v>
      </c>
      <c r="G28" s="7" t="s">
        <v>521</v>
      </c>
      <c r="H28" s="26" t="n">
        <f aca="false">COUNTIF('Processed Instances'!$C$5:$C$63,B28)</f>
        <v>1</v>
      </c>
      <c r="I28" s="7" t="n">
        <f aca="false">SUMIF('Processed Instances'!$C$5:$C$63,B28,'Processed Instances'!$J$5:$J$63)</f>
        <v>75</v>
      </c>
    </row>
    <row r="29" customFormat="false" ht="78" hidden="false" customHeight="true" outlineLevel="0" collapsed="false">
      <c r="A29" s="7" t="s">
        <v>80</v>
      </c>
      <c r="B29" s="7" t="s">
        <v>231</v>
      </c>
      <c r="C29" s="7" t="s">
        <v>232</v>
      </c>
      <c r="D29" s="7" t="s">
        <v>159</v>
      </c>
      <c r="E29" s="7" t="str">
        <f aca="false">INDEX(Sessions!$B$5:$B$8,MATCH(D29,Sessions!$A$5:$A$8,0))</f>
        <v>5-Day Academy</v>
      </c>
      <c r="F29" s="7" t="s">
        <v>597</v>
      </c>
      <c r="G29" s="7" t="s">
        <v>598</v>
      </c>
      <c r="H29" s="26" t="n">
        <f aca="false">COUNTIF('Processed Instances'!$C$5:$C$63,B29)</f>
        <v>8</v>
      </c>
      <c r="I29" s="7" t="n">
        <f aca="false">SUMIF('Processed Instances'!$C$5:$C$63,B29,'Processed Instances'!$J$5:$J$63)</f>
        <v>255</v>
      </c>
    </row>
    <row r="30" customFormat="false" ht="48" hidden="false" customHeight="true" outlineLevel="0" collapsed="false">
      <c r="A30" s="7" t="s">
        <v>87</v>
      </c>
      <c r="B30" s="7" t="s">
        <v>233</v>
      </c>
      <c r="C30" s="7" t="s">
        <v>234</v>
      </c>
      <c r="D30" s="7" t="s">
        <v>159</v>
      </c>
      <c r="E30" s="7" t="str">
        <f aca="false">INDEX(Sessions!$B$5:$B$8,MATCH(D30,Sessions!$A$5:$A$8,0))</f>
        <v>5-Day Academy</v>
      </c>
      <c r="F30" s="7" t="s">
        <v>599</v>
      </c>
      <c r="G30" s="7" t="s">
        <v>600</v>
      </c>
      <c r="H30" s="26" t="n">
        <f aca="false">COUNTIF('Processed Instances'!$C$5:$C$63,B30)</f>
        <v>5</v>
      </c>
      <c r="I30" s="7" t="n">
        <f aca="false">SUMIF('Processed Instances'!$C$5:$C$63,B30,'Processed Instances'!$J$5:$J$63)</f>
        <v>105</v>
      </c>
    </row>
    <row r="31" customFormat="false" ht="33" hidden="false" customHeight="true" outlineLevel="0" collapsed="false">
      <c r="A31" s="7" t="s">
        <v>85</v>
      </c>
      <c r="B31" s="7" t="s">
        <v>235</v>
      </c>
      <c r="C31" s="7" t="s">
        <v>236</v>
      </c>
      <c r="D31" s="7" t="s">
        <v>159</v>
      </c>
      <c r="E31" s="7" t="str">
        <f aca="false">INDEX(Sessions!$B$5:$B$8,MATCH(D31,Sessions!$A$5:$A$8,0))</f>
        <v>5-Day Academy</v>
      </c>
      <c r="F31" s="7" t="s">
        <v>601</v>
      </c>
      <c r="G31" s="7" t="s">
        <v>602</v>
      </c>
      <c r="H31" s="26" t="n">
        <f aca="false">COUNTIF('Processed Instances'!$C$5:$C$63,B31)</f>
        <v>3</v>
      </c>
      <c r="I31" s="7" t="n">
        <f aca="false">SUMIF('Processed Instances'!$C$5:$C$63,B31,'Processed Instances'!$J$5:$J$63)</f>
        <v>160</v>
      </c>
    </row>
    <row r="32" customFormat="false" ht="33" hidden="false" customHeight="true" outlineLevel="0" collapsed="false">
      <c r="A32" s="7" t="s">
        <v>316</v>
      </c>
      <c r="B32" s="7" t="s">
        <v>237</v>
      </c>
      <c r="C32" s="7" t="s">
        <v>238</v>
      </c>
      <c r="D32" s="7" t="s">
        <v>159</v>
      </c>
      <c r="E32" s="7" t="str">
        <f aca="false">INDEX(Sessions!$B$5:$B$8,MATCH(D32,Sessions!$A$5:$A$8,0))</f>
        <v>5-Day Academy</v>
      </c>
      <c r="F32" s="7" t="s">
        <v>603</v>
      </c>
      <c r="G32" s="7" t="s">
        <v>604</v>
      </c>
      <c r="H32" s="26" t="n">
        <f aca="false">COUNTIF('Processed Instances'!$C$5:$C$63,B32)</f>
        <v>3</v>
      </c>
      <c r="I32" s="7" t="n">
        <f aca="false">SUMIF('Processed Instances'!$C$5:$C$63,B32,'Processed Instances'!$J$5:$J$63)</f>
        <v>85</v>
      </c>
    </row>
    <row r="33" customFormat="false" ht="48" hidden="false" customHeight="true" outlineLevel="0" collapsed="false">
      <c r="A33" s="7" t="s">
        <v>81</v>
      </c>
      <c r="B33" s="7" t="s">
        <v>239</v>
      </c>
      <c r="C33" s="7" t="s">
        <v>240</v>
      </c>
      <c r="D33" s="7" t="s">
        <v>159</v>
      </c>
      <c r="E33" s="7" t="str">
        <f aca="false">INDEX(Sessions!$B$5:$B$8,MATCH(D33,Sessions!$A$5:$A$8,0))</f>
        <v>5-Day Academy</v>
      </c>
      <c r="F33" s="7" t="s">
        <v>605</v>
      </c>
      <c r="G33" s="7" t="s">
        <v>606</v>
      </c>
      <c r="H33" s="26" t="n">
        <f aca="false">COUNTIF('Processed Instances'!$C$5:$C$63,B33)</f>
        <v>5</v>
      </c>
      <c r="I33" s="7" t="n">
        <f aca="false">SUMIF('Processed Instances'!$C$5:$C$63,B33,'Processed Instances'!$J$5:$J$63)</f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9" min="8" style="0" width="40"/>
    <col collapsed="false" customWidth="true" hidden="false" outlineLevel="0" max="11" min="10" style="0" width="10"/>
  </cols>
  <sheetData>
    <row r="1" customFormat="false" ht="19.7" hidden="false" customHeight="false" outlineLevel="0" collapsed="false">
      <c r="A1" s="1" t="s">
        <v>607</v>
      </c>
    </row>
    <row r="2" customFormat="false" ht="15" hidden="false" customHeight="false" outlineLevel="0" collapsed="false">
      <c r="A2" s="2" t="s">
        <v>608</v>
      </c>
    </row>
    <row r="4" customFormat="false" ht="23.85" hidden="false" customHeight="false" outlineLevel="0" collapsed="false">
      <c r="A4" s="3" t="s">
        <v>243</v>
      </c>
      <c r="B4" s="3" t="s">
        <v>163</v>
      </c>
      <c r="C4" s="3" t="s">
        <v>164</v>
      </c>
      <c r="D4" s="3" t="s">
        <v>153</v>
      </c>
      <c r="E4" s="3" t="s">
        <v>43</v>
      </c>
      <c r="F4" s="3" t="s">
        <v>449</v>
      </c>
      <c r="G4" s="3" t="s">
        <v>53</v>
      </c>
      <c r="H4" s="3" t="s">
        <v>325</v>
      </c>
      <c r="I4" s="3" t="s">
        <v>326</v>
      </c>
      <c r="J4" s="3" t="s">
        <v>609</v>
      </c>
      <c r="K4" s="3" t="s">
        <v>48</v>
      </c>
    </row>
    <row r="5" customFormat="false" ht="18" hidden="false" customHeight="true" outlineLevel="0" collapsed="false">
      <c r="A5" s="7" t="s">
        <v>88</v>
      </c>
      <c r="B5" s="7" t="s">
        <v>167</v>
      </c>
      <c r="C5" s="7" t="s">
        <v>168</v>
      </c>
      <c r="D5" s="7" t="s">
        <v>156</v>
      </c>
      <c r="E5" s="7" t="str">
        <f aca="false">INDEX(Sessions!$B$5:$B$8,MATCH(D5,Sessions!$A$5:$A$8,0))</f>
        <v>1-Day Workshop</v>
      </c>
      <c r="F5" s="27" t="n">
        <v>45936</v>
      </c>
      <c r="G5" s="26" t="n">
        <f aca="false">F5-INDEX(Sessions!$D$5:$D$8,MATCH(D5,Sessions!$A$5:$A$8,0))+1</f>
        <v>1</v>
      </c>
      <c r="H5" s="7" t="s">
        <v>579</v>
      </c>
      <c r="I5" s="7" t="s">
        <v>580</v>
      </c>
      <c r="J5" s="26" t="n">
        <f aca="false">COUNTIFS('Processed Instances'!$C$5:$C$63,B5,'Processed Instances'!$E$5:$E$63,F5)</f>
        <v>2</v>
      </c>
      <c r="K5" s="26" t="n">
        <f aca="false">SUMIFS('Processed Instances'!$J$5:$J$63,'Processed Instances'!$C$5:$C$63,B5,'Processed Instances'!$E$5:$E$63,F5)</f>
        <v>90</v>
      </c>
    </row>
    <row r="6" customFormat="false" ht="18" hidden="false" customHeight="true" outlineLevel="0" collapsed="false">
      <c r="A6" s="7" t="s">
        <v>251</v>
      </c>
      <c r="B6" s="7" t="s">
        <v>171</v>
      </c>
      <c r="C6" s="7" t="s">
        <v>172</v>
      </c>
      <c r="D6" s="7" t="s">
        <v>156</v>
      </c>
      <c r="E6" s="7" t="str">
        <f aca="false">INDEX(Sessions!$B$5:$B$8,MATCH(D6,Sessions!$A$5:$A$8,0))</f>
        <v>1-Day Workshop</v>
      </c>
      <c r="F6" s="27" t="n">
        <v>45936</v>
      </c>
      <c r="G6" s="26" t="n">
        <f aca="false">F6-INDEX(Sessions!$D$5:$D$8,MATCH(D6,Sessions!$A$5:$A$8,0))+1</f>
        <v>1</v>
      </c>
      <c r="H6" s="7" t="s">
        <v>463</v>
      </c>
      <c r="I6" s="7" t="s">
        <v>464</v>
      </c>
      <c r="J6" s="26" t="n">
        <f aca="false">COUNTIFS('Processed Instances'!$C$5:$C$63,B6,'Processed Instances'!$E$5:$E$63,F6)</f>
        <v>1</v>
      </c>
      <c r="K6" s="26" t="n">
        <f aca="false">SUMIFS('Processed Instances'!$J$5:$J$63,'Processed Instances'!$C$5:$C$63,B6,'Processed Instances'!$E$5:$E$63,F6)</f>
        <v>15</v>
      </c>
    </row>
    <row r="7" customFormat="false" ht="18" hidden="false" customHeight="true" outlineLevel="0" collapsed="false">
      <c r="A7" s="7" t="s">
        <v>261</v>
      </c>
      <c r="B7" s="7" t="s">
        <v>181</v>
      </c>
      <c r="C7" s="7" t="s">
        <v>182</v>
      </c>
      <c r="D7" s="7" t="s">
        <v>156</v>
      </c>
      <c r="E7" s="7" t="str">
        <f aca="false">INDEX(Sessions!$B$5:$B$8,MATCH(D7,Sessions!$A$5:$A$8,0))</f>
        <v>1-Day Workshop</v>
      </c>
      <c r="F7" s="27" t="n">
        <v>45936</v>
      </c>
      <c r="G7" s="26" t="n">
        <f aca="false">F7-INDEX(Sessions!$D$5:$D$8,MATCH(D7,Sessions!$A$5:$A$8,0))+1</f>
        <v>1</v>
      </c>
      <c r="H7" s="7" t="s">
        <v>581</v>
      </c>
      <c r="I7" s="7" t="s">
        <v>582</v>
      </c>
      <c r="J7" s="26" t="n">
        <f aca="false">COUNTIFS('Processed Instances'!$C$5:$C$63,B7,'Processed Instances'!$E$5:$E$63,F7)</f>
        <v>2</v>
      </c>
      <c r="K7" s="26" t="n">
        <f aca="false">SUMIFS('Processed Instances'!$J$5:$J$63,'Processed Instances'!$C$5:$C$63,B7,'Processed Instances'!$E$5:$E$63,F7)</f>
        <v>90</v>
      </c>
    </row>
    <row r="8" customFormat="false" ht="18" hidden="false" customHeight="true" outlineLevel="0" collapsed="false">
      <c r="A8" s="7" t="s">
        <v>265</v>
      </c>
      <c r="B8" s="7" t="s">
        <v>185</v>
      </c>
      <c r="C8" s="7" t="s">
        <v>186</v>
      </c>
      <c r="D8" s="7" t="s">
        <v>157</v>
      </c>
      <c r="E8" s="7" t="str">
        <f aca="false">INDEX(Sessions!$B$5:$B$8,MATCH(D8,Sessions!$A$5:$A$8,0))</f>
        <v>2-Day Bootcamp</v>
      </c>
      <c r="F8" s="27" t="n">
        <v>45938</v>
      </c>
      <c r="G8" s="26" t="n">
        <f aca="false">F8-INDEX(Sessions!$D$5:$D$8,MATCH(D8,Sessions!$A$5:$A$8,0))+1</f>
        <v>2</v>
      </c>
      <c r="H8" s="7" t="s">
        <v>473</v>
      </c>
      <c r="I8" s="7" t="s">
        <v>474</v>
      </c>
      <c r="J8" s="26" t="n">
        <f aca="false">COUNTIFS('Processed Instances'!$C$5:$C$63,B8,'Processed Instances'!$E$5:$E$63,F8)</f>
        <v>1</v>
      </c>
      <c r="K8" s="26" t="n">
        <f aca="false">SUMIFS('Processed Instances'!$J$5:$J$63,'Processed Instances'!$C$5:$C$63,B8,'Processed Instances'!$E$5:$E$63,F8)</f>
        <v>75</v>
      </c>
    </row>
    <row r="9" customFormat="false" ht="18" hidden="false" customHeight="true" outlineLevel="0" collapsed="false">
      <c r="A9" s="7" t="s">
        <v>271</v>
      </c>
      <c r="B9" s="7" t="s">
        <v>191</v>
      </c>
      <c r="C9" s="7" t="s">
        <v>192</v>
      </c>
      <c r="D9" s="7" t="s">
        <v>157</v>
      </c>
      <c r="E9" s="7" t="str">
        <f aca="false">INDEX(Sessions!$B$5:$B$8,MATCH(D9,Sessions!$A$5:$A$8,0))</f>
        <v>2-Day Bootcamp</v>
      </c>
      <c r="F9" s="27" t="n">
        <v>45938</v>
      </c>
      <c r="G9" s="26" t="n">
        <f aca="false">F9-INDEX(Sessions!$D$5:$D$8,MATCH(D9,Sessions!$A$5:$A$8,0))+1</f>
        <v>2</v>
      </c>
      <c r="H9" s="7" t="s">
        <v>475</v>
      </c>
      <c r="I9" s="7" t="s">
        <v>476</v>
      </c>
      <c r="J9" s="26" t="n">
        <f aca="false">COUNTIFS('Processed Instances'!$C$5:$C$63,B9,'Processed Instances'!$E$5:$E$63,F9)</f>
        <v>1</v>
      </c>
      <c r="K9" s="26" t="n">
        <f aca="false">SUMIFS('Processed Instances'!$J$5:$J$63,'Processed Instances'!$C$5:$C$63,B9,'Processed Instances'!$E$5:$E$63,F9)</f>
        <v>60</v>
      </c>
    </row>
    <row r="10" customFormat="false" ht="18" hidden="false" customHeight="true" outlineLevel="0" collapsed="false">
      <c r="A10" s="7" t="s">
        <v>86</v>
      </c>
      <c r="B10" s="7" t="s">
        <v>199</v>
      </c>
      <c r="C10" s="7" t="s">
        <v>200</v>
      </c>
      <c r="D10" s="7" t="s">
        <v>157</v>
      </c>
      <c r="E10" s="7" t="str">
        <f aca="false">INDEX(Sessions!$B$5:$B$8,MATCH(D10,Sessions!$A$5:$A$8,0))</f>
        <v>2-Day Bootcamp</v>
      </c>
      <c r="F10" s="27" t="n">
        <v>45937</v>
      </c>
      <c r="G10" s="26" t="n">
        <f aca="false">F10-INDEX(Sessions!$D$5:$D$8,MATCH(D10,Sessions!$A$5:$A$8,0))+1</f>
        <v>1</v>
      </c>
      <c r="H10" s="7" t="s">
        <v>610</v>
      </c>
      <c r="I10" s="7" t="s">
        <v>611</v>
      </c>
      <c r="J10" s="26" t="n">
        <f aca="false">COUNTIFS('Processed Instances'!$C$5:$C$63,B10,'Processed Instances'!$E$5:$E$63,F10)</f>
        <v>2</v>
      </c>
      <c r="K10" s="26" t="n">
        <f aca="false">SUMIFS('Processed Instances'!$J$5:$J$63,'Processed Instances'!$C$5:$C$63,B10,'Processed Instances'!$E$5:$E$63,F10)</f>
        <v>100</v>
      </c>
    </row>
    <row r="11" customFormat="false" ht="18" hidden="false" customHeight="true" outlineLevel="0" collapsed="false">
      <c r="A11" s="7" t="s">
        <v>86</v>
      </c>
      <c r="B11" s="7" t="s">
        <v>199</v>
      </c>
      <c r="C11" s="7" t="s">
        <v>200</v>
      </c>
      <c r="D11" s="7" t="s">
        <v>157</v>
      </c>
      <c r="E11" s="7" t="str">
        <f aca="false">INDEX(Sessions!$B$5:$B$8,MATCH(D11,Sessions!$A$5:$A$8,0))</f>
        <v>2-Day Bootcamp</v>
      </c>
      <c r="F11" s="27" t="n">
        <v>45938</v>
      </c>
      <c r="G11" s="26" t="n">
        <f aca="false">F11-INDEX(Sessions!$D$5:$D$8,MATCH(D11,Sessions!$A$5:$A$8,0))+1</f>
        <v>2</v>
      </c>
      <c r="H11" s="7" t="s">
        <v>477</v>
      </c>
      <c r="I11" s="7" t="s">
        <v>478</v>
      </c>
      <c r="J11" s="26" t="n">
        <f aca="false">COUNTIFS('Processed Instances'!$C$5:$C$63,B11,'Processed Instances'!$E$5:$E$63,F11)</f>
        <v>1</v>
      </c>
      <c r="K11" s="26" t="n">
        <f aca="false">SUMIFS('Processed Instances'!$J$5:$J$63,'Processed Instances'!$C$5:$C$63,B11,'Processed Instances'!$E$5:$E$63,F11)</f>
        <v>20</v>
      </c>
    </row>
    <row r="12" customFormat="false" ht="33" hidden="false" customHeight="true" outlineLevel="0" collapsed="false">
      <c r="A12" s="7" t="s">
        <v>83</v>
      </c>
      <c r="B12" s="7" t="s">
        <v>213</v>
      </c>
      <c r="C12" s="7" t="s">
        <v>214</v>
      </c>
      <c r="D12" s="7" t="s">
        <v>158</v>
      </c>
      <c r="E12" s="7" t="str">
        <f aca="false">INDEX(Sessions!$B$5:$B$8,MATCH(D12,Sessions!$A$5:$A$8,0))</f>
        <v>4-Day Program</v>
      </c>
      <c r="F12" s="27" t="n">
        <v>45945</v>
      </c>
      <c r="G12" s="26" t="n">
        <f aca="false">F12-INDEX(Sessions!$D$5:$D$8,MATCH(D12,Sessions!$A$5:$A$8,0))+1</f>
        <v>3</v>
      </c>
      <c r="H12" s="7" t="s">
        <v>612</v>
      </c>
      <c r="I12" s="7" t="s">
        <v>613</v>
      </c>
      <c r="J12" s="26" t="n">
        <f aca="false">COUNTIFS('Processed Instances'!$C$5:$C$63,B12,'Processed Instances'!$E$5:$E$63,F12)</f>
        <v>3</v>
      </c>
      <c r="K12" s="26" t="n">
        <f aca="false">SUMIFS('Processed Instances'!$J$5:$J$63,'Processed Instances'!$C$5:$C$63,B12,'Processed Instances'!$E$5:$E$63,F12)</f>
        <v>145</v>
      </c>
    </row>
    <row r="13" customFormat="false" ht="18" hidden="false" customHeight="true" outlineLevel="0" collapsed="false">
      <c r="A13" s="7" t="s">
        <v>83</v>
      </c>
      <c r="B13" s="7" t="s">
        <v>213</v>
      </c>
      <c r="C13" s="7" t="s">
        <v>214</v>
      </c>
      <c r="D13" s="7" t="s">
        <v>158</v>
      </c>
      <c r="E13" s="7" t="str">
        <f aca="false">INDEX(Sessions!$B$5:$B$8,MATCH(D13,Sessions!$A$5:$A$8,0))</f>
        <v>4-Day Program</v>
      </c>
      <c r="F13" s="27" t="n">
        <v>45946</v>
      </c>
      <c r="G13" s="26" t="n">
        <f aca="false">F13-INDEX(Sessions!$D$5:$D$8,MATCH(D13,Sessions!$A$5:$A$8,0))+1</f>
        <v>4</v>
      </c>
      <c r="H13" s="7" t="s">
        <v>506</v>
      </c>
      <c r="I13" s="7" t="s">
        <v>507</v>
      </c>
      <c r="J13" s="26" t="n">
        <f aca="false">COUNTIFS('Processed Instances'!$C$5:$C$63,B13,'Processed Instances'!$E$5:$E$63,F13)</f>
        <v>1</v>
      </c>
      <c r="K13" s="26" t="n">
        <f aca="false">SUMIFS('Processed Instances'!$J$5:$J$63,'Processed Instances'!$C$5:$C$63,B13,'Processed Instances'!$E$5:$E$63,F13)</f>
        <v>25</v>
      </c>
    </row>
    <row r="14" customFormat="false" ht="18" hidden="false" customHeight="true" outlineLevel="0" collapsed="false">
      <c r="A14" s="7" t="s">
        <v>296</v>
      </c>
      <c r="B14" s="7" t="s">
        <v>215</v>
      </c>
      <c r="C14" s="7" t="s">
        <v>216</v>
      </c>
      <c r="D14" s="7" t="s">
        <v>158</v>
      </c>
      <c r="E14" s="7" t="str">
        <f aca="false">INDEX(Sessions!$B$5:$B$8,MATCH(D14,Sessions!$A$5:$A$8,0))</f>
        <v>4-Day Program</v>
      </c>
      <c r="F14" s="27" t="n">
        <v>45943</v>
      </c>
      <c r="G14" s="26" t="n">
        <f aca="false">F14-INDEX(Sessions!$D$5:$D$8,MATCH(D14,Sessions!$A$5:$A$8,0))+1</f>
        <v>1</v>
      </c>
      <c r="H14" s="7" t="s">
        <v>479</v>
      </c>
      <c r="I14" s="7" t="s">
        <v>480</v>
      </c>
      <c r="J14" s="26" t="n">
        <f aca="false">COUNTIFS('Processed Instances'!$C$5:$C$63,B14,'Processed Instances'!$E$5:$E$63,F14)</f>
        <v>1</v>
      </c>
      <c r="K14" s="26" t="n">
        <f aca="false">SUMIFS('Processed Instances'!$J$5:$J$63,'Processed Instances'!$C$5:$C$63,B14,'Processed Instances'!$E$5:$E$63,F14)</f>
        <v>30</v>
      </c>
    </row>
    <row r="15" customFormat="false" ht="18" hidden="false" customHeight="true" outlineLevel="0" collapsed="false">
      <c r="A15" s="7" t="s">
        <v>298</v>
      </c>
      <c r="B15" s="7" t="s">
        <v>217</v>
      </c>
      <c r="C15" s="7" t="s">
        <v>218</v>
      </c>
      <c r="D15" s="7" t="s">
        <v>158</v>
      </c>
      <c r="E15" s="7" t="str">
        <f aca="false">INDEX(Sessions!$B$5:$B$8,MATCH(D15,Sessions!$A$5:$A$8,0))</f>
        <v>4-Day Program</v>
      </c>
      <c r="F15" s="27" t="n">
        <v>45946</v>
      </c>
      <c r="G15" s="26" t="n">
        <f aca="false">F15-INDEX(Sessions!$D$5:$D$8,MATCH(D15,Sessions!$A$5:$A$8,0))+1</f>
        <v>4</v>
      </c>
      <c r="H15" s="7" t="s">
        <v>508</v>
      </c>
      <c r="I15" s="7" t="s">
        <v>509</v>
      </c>
      <c r="J15" s="26" t="n">
        <f aca="false">COUNTIFS('Processed Instances'!$C$5:$C$63,B15,'Processed Instances'!$E$5:$E$63,F15)</f>
        <v>1</v>
      </c>
      <c r="K15" s="26" t="n">
        <f aca="false">SUMIFS('Processed Instances'!$J$5:$J$63,'Processed Instances'!$C$5:$C$63,B15,'Processed Instances'!$E$5:$E$63,F15)</f>
        <v>60</v>
      </c>
    </row>
    <row r="16" customFormat="false" ht="18" hidden="false" customHeight="true" outlineLevel="0" collapsed="false">
      <c r="A16" s="7" t="s">
        <v>89</v>
      </c>
      <c r="B16" s="7" t="s">
        <v>221</v>
      </c>
      <c r="C16" s="7" t="s">
        <v>222</v>
      </c>
      <c r="D16" s="7" t="s">
        <v>158</v>
      </c>
      <c r="E16" s="7" t="str">
        <f aca="false">INDEX(Sessions!$B$5:$B$8,MATCH(D16,Sessions!$A$5:$A$8,0))</f>
        <v>4-Day Program</v>
      </c>
      <c r="F16" s="27" t="n">
        <v>45943</v>
      </c>
      <c r="G16" s="26" t="n">
        <f aca="false">F16-INDEX(Sessions!$D$5:$D$8,MATCH(D16,Sessions!$A$5:$A$8,0))+1</f>
        <v>1</v>
      </c>
      <c r="H16" s="7" t="s">
        <v>614</v>
      </c>
      <c r="I16" s="7" t="s">
        <v>615</v>
      </c>
      <c r="J16" s="26" t="n">
        <f aca="false">COUNTIFS('Processed Instances'!$C$5:$C$63,B16,'Processed Instances'!$E$5:$E$63,F16)</f>
        <v>2</v>
      </c>
      <c r="K16" s="26" t="n">
        <f aca="false">SUMIFS('Processed Instances'!$J$5:$J$63,'Processed Instances'!$C$5:$C$63,B16,'Processed Instances'!$E$5:$E$63,F16)</f>
        <v>70</v>
      </c>
    </row>
    <row r="17" customFormat="false" ht="18" hidden="false" customHeight="true" outlineLevel="0" collapsed="false">
      <c r="A17" s="7" t="s">
        <v>89</v>
      </c>
      <c r="B17" s="7" t="s">
        <v>221</v>
      </c>
      <c r="C17" s="7" t="s">
        <v>222</v>
      </c>
      <c r="D17" s="7" t="s">
        <v>158</v>
      </c>
      <c r="E17" s="7" t="str">
        <f aca="false">INDEX(Sessions!$B$5:$B$8,MATCH(D17,Sessions!$A$5:$A$8,0))</f>
        <v>4-Day Program</v>
      </c>
      <c r="F17" s="27" t="n">
        <v>45946</v>
      </c>
      <c r="G17" s="26" t="n">
        <f aca="false">F17-INDEX(Sessions!$D$5:$D$8,MATCH(D17,Sessions!$A$5:$A$8,0))+1</f>
        <v>4</v>
      </c>
      <c r="H17" s="7" t="s">
        <v>510</v>
      </c>
      <c r="I17" s="7" t="s">
        <v>511</v>
      </c>
      <c r="J17" s="26" t="n">
        <f aca="false">COUNTIFS('Processed Instances'!$C$5:$C$63,B17,'Processed Instances'!$E$5:$E$63,F17)</f>
        <v>1</v>
      </c>
      <c r="K17" s="26" t="n">
        <f aca="false">SUMIFS('Processed Instances'!$J$5:$J$63,'Processed Instances'!$C$5:$C$63,B17,'Processed Instances'!$E$5:$E$63,F17)</f>
        <v>20</v>
      </c>
    </row>
    <row r="18" customFormat="false" ht="18" hidden="false" customHeight="true" outlineLevel="0" collapsed="false">
      <c r="A18" s="7" t="s">
        <v>286</v>
      </c>
      <c r="B18" s="7" t="s">
        <v>203</v>
      </c>
      <c r="C18" s="7" t="s">
        <v>204</v>
      </c>
      <c r="D18" s="7" t="s">
        <v>158</v>
      </c>
      <c r="E18" s="7" t="str">
        <f aca="false">INDEX(Sessions!$B$5:$B$8,MATCH(D18,Sessions!$A$5:$A$8,0))</f>
        <v>4-Day Program</v>
      </c>
      <c r="F18" s="27" t="n">
        <v>45943</v>
      </c>
      <c r="G18" s="26" t="n">
        <f aca="false">F18-INDEX(Sessions!$D$5:$D$8,MATCH(D18,Sessions!$A$5:$A$8,0))+1</f>
        <v>1</v>
      </c>
      <c r="H18" s="7" t="s">
        <v>485</v>
      </c>
      <c r="I18" s="7" t="s">
        <v>486</v>
      </c>
      <c r="J18" s="26" t="n">
        <f aca="false">COUNTIFS('Processed Instances'!$C$5:$C$63,B18,'Processed Instances'!$E$5:$E$63,F18)</f>
        <v>1</v>
      </c>
      <c r="K18" s="26" t="n">
        <f aca="false">SUMIFS('Processed Instances'!$J$5:$J$63,'Processed Instances'!$C$5:$C$63,B18,'Processed Instances'!$E$5:$E$63,F18)</f>
        <v>45</v>
      </c>
    </row>
    <row r="19" customFormat="false" ht="18" hidden="false" customHeight="true" outlineLevel="0" collapsed="false">
      <c r="A19" s="7" t="s">
        <v>286</v>
      </c>
      <c r="B19" s="7" t="s">
        <v>203</v>
      </c>
      <c r="C19" s="7" t="s">
        <v>204</v>
      </c>
      <c r="D19" s="7" t="s">
        <v>158</v>
      </c>
      <c r="E19" s="7" t="str">
        <f aca="false">INDEX(Sessions!$B$5:$B$8,MATCH(D19,Sessions!$A$5:$A$8,0))</f>
        <v>4-Day Program</v>
      </c>
      <c r="F19" s="27" t="n">
        <v>45946</v>
      </c>
      <c r="G19" s="26" t="n">
        <f aca="false">F19-INDEX(Sessions!$D$5:$D$8,MATCH(D19,Sessions!$A$5:$A$8,0))+1</f>
        <v>4</v>
      </c>
      <c r="H19" s="7" t="s">
        <v>512</v>
      </c>
      <c r="I19" s="7" t="s">
        <v>513</v>
      </c>
      <c r="J19" s="26" t="n">
        <f aca="false">COUNTIFS('Processed Instances'!$C$5:$C$63,B19,'Processed Instances'!$E$5:$E$63,F19)</f>
        <v>1</v>
      </c>
      <c r="K19" s="26" t="n">
        <f aca="false">SUMIFS('Processed Instances'!$J$5:$J$63,'Processed Instances'!$C$5:$C$63,B19,'Processed Instances'!$E$5:$E$63,F19)</f>
        <v>25</v>
      </c>
    </row>
    <row r="20" customFormat="false" ht="18" hidden="false" customHeight="true" outlineLevel="0" collapsed="false">
      <c r="A20" s="7" t="s">
        <v>288</v>
      </c>
      <c r="B20" s="7" t="s">
        <v>205</v>
      </c>
      <c r="C20" s="7" t="s">
        <v>206</v>
      </c>
      <c r="D20" s="7" t="s">
        <v>158</v>
      </c>
      <c r="E20" s="7" t="str">
        <f aca="false">INDEX(Sessions!$B$5:$B$8,MATCH(D20,Sessions!$A$5:$A$8,0))</f>
        <v>4-Day Program</v>
      </c>
      <c r="F20" s="27" t="n">
        <v>45944</v>
      </c>
      <c r="G20" s="26" t="n">
        <f aca="false">F20-INDEX(Sessions!$D$5:$D$8,MATCH(D20,Sessions!$A$5:$A$8,0))+1</f>
        <v>2</v>
      </c>
      <c r="H20" s="7" t="s">
        <v>491</v>
      </c>
      <c r="I20" s="7" t="s">
        <v>492</v>
      </c>
      <c r="J20" s="26" t="n">
        <f aca="false">COUNTIFS('Processed Instances'!$C$5:$C$63,B20,'Processed Instances'!$E$5:$E$63,F20)</f>
        <v>1</v>
      </c>
      <c r="K20" s="26" t="n">
        <f aca="false">SUMIFS('Processed Instances'!$J$5:$J$63,'Processed Instances'!$C$5:$C$63,B20,'Processed Instances'!$E$5:$E$63,F20)</f>
        <v>40</v>
      </c>
    </row>
    <row r="21" customFormat="false" ht="33" hidden="false" customHeight="true" outlineLevel="0" collapsed="false">
      <c r="A21" s="7" t="s">
        <v>84</v>
      </c>
      <c r="B21" s="7" t="s">
        <v>207</v>
      </c>
      <c r="C21" s="7" t="s">
        <v>208</v>
      </c>
      <c r="D21" s="7" t="s">
        <v>158</v>
      </c>
      <c r="E21" s="7" t="str">
        <f aca="false">INDEX(Sessions!$B$5:$B$8,MATCH(D21,Sessions!$A$5:$A$8,0))</f>
        <v>4-Day Program</v>
      </c>
      <c r="F21" s="27" t="n">
        <v>45945</v>
      </c>
      <c r="G21" s="26" t="n">
        <f aca="false">F21-INDEX(Sessions!$D$5:$D$8,MATCH(D21,Sessions!$A$5:$A$8,0))+1</f>
        <v>3</v>
      </c>
      <c r="H21" s="7" t="s">
        <v>591</v>
      </c>
      <c r="I21" s="7" t="s">
        <v>592</v>
      </c>
      <c r="J21" s="26" t="n">
        <f aca="false">COUNTIFS('Processed Instances'!$C$5:$C$63,B21,'Processed Instances'!$E$5:$E$63,F21)</f>
        <v>3</v>
      </c>
      <c r="K21" s="26" t="n">
        <f aca="false">SUMIFS('Processed Instances'!$J$5:$J$63,'Processed Instances'!$C$5:$C$63,B21,'Processed Instances'!$E$5:$E$63,F21)</f>
        <v>165</v>
      </c>
    </row>
    <row r="22" customFormat="false" ht="18" hidden="false" customHeight="true" outlineLevel="0" collapsed="false">
      <c r="A22" s="7" t="s">
        <v>291</v>
      </c>
      <c r="B22" s="7" t="s">
        <v>209</v>
      </c>
      <c r="C22" s="7" t="s">
        <v>210</v>
      </c>
      <c r="D22" s="7" t="s">
        <v>158</v>
      </c>
      <c r="E22" s="7" t="str">
        <f aca="false">INDEX(Sessions!$B$5:$B$8,MATCH(D22,Sessions!$A$5:$A$8,0))</f>
        <v>4-Day Program</v>
      </c>
      <c r="F22" s="27" t="n">
        <v>45943</v>
      </c>
      <c r="G22" s="26" t="n">
        <f aca="false">F22-INDEX(Sessions!$D$5:$D$8,MATCH(D22,Sessions!$A$5:$A$8,0))+1</f>
        <v>1</v>
      </c>
      <c r="H22" s="7" t="s">
        <v>593</v>
      </c>
      <c r="I22" s="7" t="s">
        <v>594</v>
      </c>
      <c r="J22" s="26" t="n">
        <f aca="false">COUNTIFS('Processed Instances'!$C$5:$C$63,B22,'Processed Instances'!$E$5:$E$63,F22)</f>
        <v>2</v>
      </c>
      <c r="K22" s="26" t="n">
        <f aca="false">SUMIFS('Processed Instances'!$J$5:$J$63,'Processed Instances'!$C$5:$C$63,B22,'Processed Instances'!$E$5:$E$63,F22)</f>
        <v>30</v>
      </c>
    </row>
    <row r="23" customFormat="false" ht="18" hidden="false" customHeight="true" outlineLevel="0" collapsed="false">
      <c r="A23" s="7" t="s">
        <v>293</v>
      </c>
      <c r="B23" s="7" t="s">
        <v>211</v>
      </c>
      <c r="C23" s="7" t="s">
        <v>212</v>
      </c>
      <c r="D23" s="7" t="s">
        <v>158</v>
      </c>
      <c r="E23" s="7" t="str">
        <f aca="false">INDEX(Sessions!$B$5:$B$8,MATCH(D23,Sessions!$A$5:$A$8,0))</f>
        <v>4-Day Program</v>
      </c>
      <c r="F23" s="27" t="n">
        <v>45945</v>
      </c>
      <c r="G23" s="26" t="n">
        <f aca="false">F23-INDEX(Sessions!$D$5:$D$8,MATCH(D23,Sessions!$A$5:$A$8,0))+1</f>
        <v>3</v>
      </c>
      <c r="H23" s="7" t="s">
        <v>504</v>
      </c>
      <c r="I23" s="7" t="s">
        <v>505</v>
      </c>
      <c r="J23" s="26" t="n">
        <f aca="false">COUNTIFS('Processed Instances'!$C$5:$C$63,B23,'Processed Instances'!$E$5:$E$63,F23)</f>
        <v>1</v>
      </c>
      <c r="K23" s="26" t="n">
        <f aca="false">SUMIFS('Processed Instances'!$J$5:$J$63,'Processed Instances'!$C$5:$C$63,B23,'Processed Instances'!$E$5:$E$63,F23)</f>
        <v>15</v>
      </c>
    </row>
    <row r="24" customFormat="false" ht="18" hidden="false" customHeight="true" outlineLevel="0" collapsed="false">
      <c r="A24" s="7" t="s">
        <v>82</v>
      </c>
      <c r="B24" s="7" t="s">
        <v>223</v>
      </c>
      <c r="C24" s="7" t="s">
        <v>224</v>
      </c>
      <c r="D24" s="7" t="s">
        <v>159</v>
      </c>
      <c r="E24" s="7" t="str">
        <f aca="false">INDEX(Sessions!$B$5:$B$8,MATCH(D24,Sessions!$A$5:$A$8,0))</f>
        <v>5-Day Academy</v>
      </c>
      <c r="F24" s="27" t="n">
        <v>45950</v>
      </c>
      <c r="G24" s="26" t="n">
        <f aca="false">F24-INDEX(Sessions!$D$5:$D$8,MATCH(D24,Sessions!$A$5:$A$8,0))+1</f>
        <v>1</v>
      </c>
      <c r="H24" s="7" t="s">
        <v>616</v>
      </c>
      <c r="I24" s="7" t="s">
        <v>617</v>
      </c>
      <c r="J24" s="26" t="n">
        <f aca="false">COUNTIFS('Processed Instances'!$C$5:$C$63,B24,'Processed Instances'!$E$5:$E$63,F24)</f>
        <v>2</v>
      </c>
      <c r="K24" s="26" t="n">
        <f aca="false">SUMIFS('Processed Instances'!$J$5:$J$63,'Processed Instances'!$C$5:$C$63,B24,'Processed Instances'!$E$5:$E$63,F24)</f>
        <v>65</v>
      </c>
    </row>
    <row r="25" customFormat="false" ht="18" hidden="false" customHeight="true" outlineLevel="0" collapsed="false">
      <c r="A25" s="7" t="s">
        <v>82</v>
      </c>
      <c r="B25" s="7" t="s">
        <v>223</v>
      </c>
      <c r="C25" s="7" t="s">
        <v>224</v>
      </c>
      <c r="D25" s="7" t="s">
        <v>159</v>
      </c>
      <c r="E25" s="7" t="str">
        <f aca="false">INDEX(Sessions!$B$5:$B$8,MATCH(D25,Sessions!$A$5:$A$8,0))</f>
        <v>5-Day Academy</v>
      </c>
      <c r="F25" s="27" t="n">
        <v>45951</v>
      </c>
      <c r="G25" s="26" t="n">
        <f aca="false">F25-INDEX(Sessions!$D$5:$D$8,MATCH(D25,Sessions!$A$5:$A$8,0))+1</f>
        <v>2</v>
      </c>
      <c r="H25" s="7" t="s">
        <v>522</v>
      </c>
      <c r="I25" s="7" t="s">
        <v>523</v>
      </c>
      <c r="J25" s="26" t="n">
        <f aca="false">COUNTIFS('Processed Instances'!$C$5:$C$63,B25,'Processed Instances'!$E$5:$E$63,F25)</f>
        <v>1</v>
      </c>
      <c r="K25" s="26" t="n">
        <f aca="false">SUMIFS('Processed Instances'!$J$5:$J$63,'Processed Instances'!$C$5:$C$63,B25,'Processed Instances'!$E$5:$E$63,F25)</f>
        <v>40</v>
      </c>
    </row>
    <row r="26" customFormat="false" ht="18" hidden="false" customHeight="true" outlineLevel="0" collapsed="false">
      <c r="A26" s="7" t="s">
        <v>82</v>
      </c>
      <c r="B26" s="7" t="s">
        <v>223</v>
      </c>
      <c r="C26" s="7" t="s">
        <v>224</v>
      </c>
      <c r="D26" s="7" t="s">
        <v>159</v>
      </c>
      <c r="E26" s="7" t="str">
        <f aca="false">INDEX(Sessions!$B$5:$B$8,MATCH(D26,Sessions!$A$5:$A$8,0))</f>
        <v>5-Day Academy</v>
      </c>
      <c r="F26" s="27" t="n">
        <v>45952</v>
      </c>
      <c r="G26" s="26" t="n">
        <f aca="false">F26-INDEX(Sessions!$D$5:$D$8,MATCH(D26,Sessions!$A$5:$A$8,0))+1</f>
        <v>3</v>
      </c>
      <c r="H26" s="7" t="s">
        <v>618</v>
      </c>
      <c r="I26" s="7" t="s">
        <v>619</v>
      </c>
      <c r="J26" s="26" t="n">
        <f aca="false">COUNTIFS('Processed Instances'!$C$5:$C$63,B26,'Processed Instances'!$E$5:$E$63,F26)</f>
        <v>2</v>
      </c>
      <c r="K26" s="26" t="n">
        <f aca="false">SUMIFS('Processed Instances'!$J$5:$J$63,'Processed Instances'!$C$5:$C$63,B26,'Processed Instances'!$E$5:$E$63,F26)</f>
        <v>95</v>
      </c>
    </row>
    <row r="27" customFormat="false" ht="18" hidden="false" customHeight="true" outlineLevel="0" collapsed="false">
      <c r="A27" s="7" t="s">
        <v>304</v>
      </c>
      <c r="B27" s="7" t="s">
        <v>225</v>
      </c>
      <c r="C27" s="7" t="s">
        <v>226</v>
      </c>
      <c r="D27" s="7" t="s">
        <v>159</v>
      </c>
      <c r="E27" s="7" t="str">
        <f aca="false">INDEX(Sessions!$B$5:$B$8,MATCH(D27,Sessions!$A$5:$A$8,0))</f>
        <v>5-Day Academy</v>
      </c>
      <c r="F27" s="27" t="n">
        <v>45950</v>
      </c>
      <c r="G27" s="26" t="n">
        <f aca="false">F27-INDEX(Sessions!$D$5:$D$8,MATCH(D27,Sessions!$A$5:$A$8,0))+1</f>
        <v>1</v>
      </c>
      <c r="H27" s="7" t="s">
        <v>518</v>
      </c>
      <c r="I27" s="7" t="s">
        <v>519</v>
      </c>
      <c r="J27" s="26" t="n">
        <f aca="false">COUNTIFS('Processed Instances'!$C$5:$C$63,B27,'Processed Instances'!$E$5:$E$63,F27)</f>
        <v>1</v>
      </c>
      <c r="K27" s="26" t="n">
        <f aca="false">SUMIFS('Processed Instances'!$J$5:$J$63,'Processed Instances'!$C$5:$C$63,B27,'Processed Instances'!$E$5:$E$63,F27)</f>
        <v>75</v>
      </c>
    </row>
    <row r="28" customFormat="false" ht="18" hidden="false" customHeight="true" outlineLevel="0" collapsed="false">
      <c r="A28" s="7" t="s">
        <v>306</v>
      </c>
      <c r="B28" s="7" t="s">
        <v>227</v>
      </c>
      <c r="C28" s="7" t="s">
        <v>228</v>
      </c>
      <c r="D28" s="7" t="s">
        <v>159</v>
      </c>
      <c r="E28" s="7" t="str">
        <f aca="false">INDEX(Sessions!$B$5:$B$8,MATCH(D28,Sessions!$A$5:$A$8,0))</f>
        <v>5-Day Academy</v>
      </c>
      <c r="F28" s="27" t="n">
        <v>45950</v>
      </c>
      <c r="G28" s="26" t="n">
        <f aca="false">F28-INDEX(Sessions!$D$5:$D$8,MATCH(D28,Sessions!$A$5:$A$8,0))+1</f>
        <v>1</v>
      </c>
      <c r="H28" s="7" t="s">
        <v>520</v>
      </c>
      <c r="I28" s="7" t="s">
        <v>521</v>
      </c>
      <c r="J28" s="26" t="n">
        <f aca="false">COUNTIFS('Processed Instances'!$C$5:$C$63,B28,'Processed Instances'!$E$5:$E$63,F28)</f>
        <v>1</v>
      </c>
      <c r="K28" s="26" t="n">
        <f aca="false">SUMIFS('Processed Instances'!$J$5:$J$63,'Processed Instances'!$C$5:$C$63,B28,'Processed Instances'!$E$5:$E$63,F28)</f>
        <v>75</v>
      </c>
    </row>
    <row r="29" customFormat="false" ht="33" hidden="false" customHeight="true" outlineLevel="0" collapsed="false">
      <c r="A29" s="7" t="s">
        <v>80</v>
      </c>
      <c r="B29" s="7" t="s">
        <v>231</v>
      </c>
      <c r="C29" s="7" t="s">
        <v>232</v>
      </c>
      <c r="D29" s="7" t="s">
        <v>159</v>
      </c>
      <c r="E29" s="7" t="str">
        <f aca="false">INDEX(Sessions!$B$5:$B$8,MATCH(D29,Sessions!$A$5:$A$8,0))</f>
        <v>5-Day Academy</v>
      </c>
      <c r="F29" s="27" t="n">
        <v>45951</v>
      </c>
      <c r="G29" s="26" t="n">
        <f aca="false">F29-INDEX(Sessions!$D$5:$D$8,MATCH(D29,Sessions!$A$5:$A$8,0))+1</f>
        <v>2</v>
      </c>
      <c r="H29" s="7" t="s">
        <v>620</v>
      </c>
      <c r="I29" s="7" t="s">
        <v>621</v>
      </c>
      <c r="J29" s="26" t="n">
        <f aca="false">COUNTIFS('Processed Instances'!$C$5:$C$63,B29,'Processed Instances'!$E$5:$E$63,F29)</f>
        <v>3</v>
      </c>
      <c r="K29" s="26" t="n">
        <f aca="false">SUMIFS('Processed Instances'!$J$5:$J$63,'Processed Instances'!$C$5:$C$63,B29,'Processed Instances'!$E$5:$E$63,F29)</f>
        <v>85</v>
      </c>
    </row>
    <row r="30" customFormat="false" ht="18" hidden="false" customHeight="true" outlineLevel="0" collapsed="false">
      <c r="A30" s="7" t="s">
        <v>80</v>
      </c>
      <c r="B30" s="7" t="s">
        <v>231</v>
      </c>
      <c r="C30" s="7" t="s">
        <v>232</v>
      </c>
      <c r="D30" s="7" t="s">
        <v>159</v>
      </c>
      <c r="E30" s="7" t="str">
        <f aca="false">INDEX(Sessions!$B$5:$B$8,MATCH(D30,Sessions!$A$5:$A$8,0))</f>
        <v>5-Day Academy</v>
      </c>
      <c r="F30" s="27" t="n">
        <v>45952</v>
      </c>
      <c r="G30" s="26" t="n">
        <f aca="false">F30-INDEX(Sessions!$D$5:$D$8,MATCH(D30,Sessions!$A$5:$A$8,0))+1</f>
        <v>3</v>
      </c>
      <c r="H30" s="7" t="s">
        <v>622</v>
      </c>
      <c r="I30" s="7" t="s">
        <v>623</v>
      </c>
      <c r="J30" s="26" t="n">
        <f aca="false">COUNTIFS('Processed Instances'!$C$5:$C$63,B30,'Processed Instances'!$E$5:$E$63,F30)</f>
        <v>2</v>
      </c>
      <c r="K30" s="26" t="n">
        <f aca="false">SUMIFS('Processed Instances'!$J$5:$J$63,'Processed Instances'!$C$5:$C$63,B30,'Processed Instances'!$E$5:$E$63,F30)</f>
        <v>105</v>
      </c>
    </row>
    <row r="31" customFormat="false" ht="33" hidden="false" customHeight="true" outlineLevel="0" collapsed="false">
      <c r="A31" s="7" t="s">
        <v>80</v>
      </c>
      <c r="B31" s="7" t="s">
        <v>231</v>
      </c>
      <c r="C31" s="7" t="s">
        <v>232</v>
      </c>
      <c r="D31" s="7" t="s">
        <v>159</v>
      </c>
      <c r="E31" s="7" t="str">
        <f aca="false">INDEX(Sessions!$B$5:$B$8,MATCH(D31,Sessions!$A$5:$A$8,0))</f>
        <v>5-Day Academy</v>
      </c>
      <c r="F31" s="27" t="n">
        <v>45954</v>
      </c>
      <c r="G31" s="26" t="n">
        <f aca="false">F31-INDEX(Sessions!$D$5:$D$8,MATCH(D31,Sessions!$A$5:$A$8,0))+1</f>
        <v>5</v>
      </c>
      <c r="H31" s="7" t="s">
        <v>624</v>
      </c>
      <c r="I31" s="7" t="s">
        <v>625</v>
      </c>
      <c r="J31" s="26" t="n">
        <f aca="false">COUNTIFS('Processed Instances'!$C$5:$C$63,B31,'Processed Instances'!$E$5:$E$63,F31)</f>
        <v>3</v>
      </c>
      <c r="K31" s="26" t="n">
        <f aca="false">SUMIFS('Processed Instances'!$J$5:$J$63,'Processed Instances'!$C$5:$C$63,B31,'Processed Instances'!$E$5:$E$63,F31)</f>
        <v>65</v>
      </c>
    </row>
    <row r="32" customFormat="false" ht="18" hidden="false" customHeight="true" outlineLevel="0" collapsed="false">
      <c r="A32" s="7" t="s">
        <v>87</v>
      </c>
      <c r="B32" s="7" t="s">
        <v>233</v>
      </c>
      <c r="C32" s="7" t="s">
        <v>234</v>
      </c>
      <c r="D32" s="7" t="s">
        <v>159</v>
      </c>
      <c r="E32" s="7" t="str">
        <f aca="false">INDEX(Sessions!$B$5:$B$8,MATCH(D32,Sessions!$A$5:$A$8,0))</f>
        <v>5-Day Academy</v>
      </c>
      <c r="F32" s="27" t="n">
        <v>45952</v>
      </c>
      <c r="G32" s="26" t="n">
        <f aca="false">F32-INDEX(Sessions!$D$5:$D$8,MATCH(D32,Sessions!$A$5:$A$8,0))+1</f>
        <v>3</v>
      </c>
      <c r="H32" s="7" t="s">
        <v>541</v>
      </c>
      <c r="I32" s="7" t="s">
        <v>542</v>
      </c>
      <c r="J32" s="26" t="n">
        <f aca="false">COUNTIFS('Processed Instances'!$C$5:$C$63,B32,'Processed Instances'!$E$5:$E$63,F32)</f>
        <v>1</v>
      </c>
      <c r="K32" s="26" t="n">
        <f aca="false">SUMIFS('Processed Instances'!$J$5:$J$63,'Processed Instances'!$C$5:$C$63,B32,'Processed Instances'!$E$5:$E$63,F32)</f>
        <v>15</v>
      </c>
    </row>
    <row r="33" customFormat="false" ht="18" hidden="false" customHeight="true" outlineLevel="0" collapsed="false">
      <c r="A33" s="7" t="s">
        <v>87</v>
      </c>
      <c r="B33" s="7" t="s">
        <v>233</v>
      </c>
      <c r="C33" s="7" t="s">
        <v>234</v>
      </c>
      <c r="D33" s="7" t="s">
        <v>159</v>
      </c>
      <c r="E33" s="7" t="str">
        <f aca="false">INDEX(Sessions!$B$5:$B$8,MATCH(D33,Sessions!$A$5:$A$8,0))</f>
        <v>5-Day Academy</v>
      </c>
      <c r="F33" s="27" t="n">
        <v>45953</v>
      </c>
      <c r="G33" s="26" t="n">
        <f aca="false">F33-INDEX(Sessions!$D$5:$D$8,MATCH(D33,Sessions!$A$5:$A$8,0))+1</f>
        <v>4</v>
      </c>
      <c r="H33" s="7" t="s">
        <v>547</v>
      </c>
      <c r="I33" s="7" t="s">
        <v>548</v>
      </c>
      <c r="J33" s="26" t="n">
        <f aca="false">COUNTIFS('Processed Instances'!$C$5:$C$63,B33,'Processed Instances'!$E$5:$E$63,F33)</f>
        <v>1</v>
      </c>
      <c r="K33" s="26" t="n">
        <f aca="false">SUMIFS('Processed Instances'!$J$5:$J$63,'Processed Instances'!$C$5:$C$63,B33,'Processed Instances'!$E$5:$E$63,F33)</f>
        <v>15</v>
      </c>
    </row>
    <row r="34" customFormat="false" ht="33" hidden="false" customHeight="true" outlineLevel="0" collapsed="false">
      <c r="A34" s="7" t="s">
        <v>87</v>
      </c>
      <c r="B34" s="7" t="s">
        <v>233</v>
      </c>
      <c r="C34" s="7" t="s">
        <v>234</v>
      </c>
      <c r="D34" s="7" t="s">
        <v>159</v>
      </c>
      <c r="E34" s="7" t="str">
        <f aca="false">INDEX(Sessions!$B$5:$B$8,MATCH(D34,Sessions!$A$5:$A$8,0))</f>
        <v>5-Day Academy</v>
      </c>
      <c r="F34" s="27" t="n">
        <v>45954</v>
      </c>
      <c r="G34" s="26" t="n">
        <f aca="false">F34-INDEX(Sessions!$D$5:$D$8,MATCH(D34,Sessions!$A$5:$A$8,0))+1</f>
        <v>5</v>
      </c>
      <c r="H34" s="7" t="s">
        <v>626</v>
      </c>
      <c r="I34" s="7" t="s">
        <v>627</v>
      </c>
      <c r="J34" s="26" t="n">
        <f aca="false">COUNTIFS('Processed Instances'!$C$5:$C$63,B34,'Processed Instances'!$E$5:$E$63,F34)</f>
        <v>3</v>
      </c>
      <c r="K34" s="26" t="n">
        <f aca="false">SUMIFS('Processed Instances'!$J$5:$J$63,'Processed Instances'!$C$5:$C$63,B34,'Processed Instances'!$E$5:$E$63,F34)</f>
        <v>75</v>
      </c>
    </row>
    <row r="35" customFormat="false" ht="18" hidden="false" customHeight="true" outlineLevel="0" collapsed="false">
      <c r="A35" s="7" t="s">
        <v>85</v>
      </c>
      <c r="B35" s="7" t="s">
        <v>235</v>
      </c>
      <c r="C35" s="7" t="s">
        <v>236</v>
      </c>
      <c r="D35" s="7" t="s">
        <v>159</v>
      </c>
      <c r="E35" s="7" t="str">
        <f aca="false">INDEX(Sessions!$B$5:$B$8,MATCH(D35,Sessions!$A$5:$A$8,0))</f>
        <v>5-Day Academy</v>
      </c>
      <c r="F35" s="27" t="n">
        <v>45952</v>
      </c>
      <c r="G35" s="26" t="n">
        <f aca="false">F35-INDEX(Sessions!$D$5:$D$8,MATCH(D35,Sessions!$A$5:$A$8,0))+1</f>
        <v>3</v>
      </c>
      <c r="H35" s="7" t="s">
        <v>543</v>
      </c>
      <c r="I35" s="7" t="s">
        <v>544</v>
      </c>
      <c r="J35" s="26" t="n">
        <f aca="false">COUNTIFS('Processed Instances'!$C$5:$C$63,B35,'Processed Instances'!$E$5:$E$63,F35)</f>
        <v>1</v>
      </c>
      <c r="K35" s="26" t="n">
        <f aca="false">SUMIFS('Processed Instances'!$J$5:$J$63,'Processed Instances'!$C$5:$C$63,B35,'Processed Instances'!$E$5:$E$63,F35)</f>
        <v>40</v>
      </c>
    </row>
    <row r="36" customFormat="false" ht="18" hidden="false" customHeight="true" outlineLevel="0" collapsed="false">
      <c r="A36" s="7" t="s">
        <v>85</v>
      </c>
      <c r="B36" s="7" t="s">
        <v>235</v>
      </c>
      <c r="C36" s="7" t="s">
        <v>236</v>
      </c>
      <c r="D36" s="7" t="s">
        <v>159</v>
      </c>
      <c r="E36" s="7" t="str">
        <f aca="false">INDEX(Sessions!$B$5:$B$8,MATCH(D36,Sessions!$A$5:$A$8,0))</f>
        <v>5-Day Academy</v>
      </c>
      <c r="F36" s="27" t="n">
        <v>45953</v>
      </c>
      <c r="G36" s="26" t="n">
        <f aca="false">F36-INDEX(Sessions!$D$5:$D$8,MATCH(D36,Sessions!$A$5:$A$8,0))+1</f>
        <v>4</v>
      </c>
      <c r="H36" s="7" t="s">
        <v>628</v>
      </c>
      <c r="I36" s="7" t="s">
        <v>629</v>
      </c>
      <c r="J36" s="26" t="n">
        <f aca="false">COUNTIFS('Processed Instances'!$C$5:$C$63,B36,'Processed Instances'!$E$5:$E$63,F36)</f>
        <v>2</v>
      </c>
      <c r="K36" s="26" t="n">
        <f aca="false">SUMIFS('Processed Instances'!$J$5:$J$63,'Processed Instances'!$C$5:$C$63,B36,'Processed Instances'!$E$5:$E$63,F36)</f>
        <v>120</v>
      </c>
    </row>
    <row r="37" customFormat="false" ht="18" hidden="false" customHeight="true" outlineLevel="0" collapsed="false">
      <c r="A37" s="7" t="s">
        <v>316</v>
      </c>
      <c r="B37" s="7" t="s">
        <v>237</v>
      </c>
      <c r="C37" s="7" t="s">
        <v>238</v>
      </c>
      <c r="D37" s="7" t="s">
        <v>159</v>
      </c>
      <c r="E37" s="7" t="str">
        <f aca="false">INDEX(Sessions!$B$5:$B$8,MATCH(D37,Sessions!$A$5:$A$8,0))</f>
        <v>5-Day Academy</v>
      </c>
      <c r="F37" s="27" t="n">
        <v>45951</v>
      </c>
      <c r="G37" s="26" t="n">
        <f aca="false">F37-INDEX(Sessions!$D$5:$D$8,MATCH(D37,Sessions!$A$5:$A$8,0))+1</f>
        <v>2</v>
      </c>
      <c r="H37" s="7" t="s">
        <v>530</v>
      </c>
      <c r="I37" s="7" t="s">
        <v>531</v>
      </c>
      <c r="J37" s="26" t="n">
        <f aca="false">COUNTIFS('Processed Instances'!$C$5:$C$63,B37,'Processed Instances'!$E$5:$E$63,F37)</f>
        <v>1</v>
      </c>
      <c r="K37" s="26" t="n">
        <f aca="false">SUMIFS('Processed Instances'!$J$5:$J$63,'Processed Instances'!$C$5:$C$63,B37,'Processed Instances'!$E$5:$E$63,F37)</f>
        <v>20</v>
      </c>
    </row>
    <row r="38" customFormat="false" ht="18" hidden="false" customHeight="true" outlineLevel="0" collapsed="false">
      <c r="A38" s="7" t="s">
        <v>316</v>
      </c>
      <c r="B38" s="7" t="s">
        <v>237</v>
      </c>
      <c r="C38" s="7" t="s">
        <v>238</v>
      </c>
      <c r="D38" s="7" t="s">
        <v>159</v>
      </c>
      <c r="E38" s="7" t="str">
        <f aca="false">INDEX(Sessions!$B$5:$B$8,MATCH(D38,Sessions!$A$5:$A$8,0))</f>
        <v>5-Day Academy</v>
      </c>
      <c r="F38" s="27" t="n">
        <v>45953</v>
      </c>
      <c r="G38" s="26" t="n">
        <f aca="false">F38-INDEX(Sessions!$D$5:$D$8,MATCH(D38,Sessions!$A$5:$A$8,0))+1</f>
        <v>4</v>
      </c>
      <c r="H38" s="7" t="s">
        <v>630</v>
      </c>
      <c r="I38" s="7" t="s">
        <v>631</v>
      </c>
      <c r="J38" s="26" t="n">
        <f aca="false">COUNTIFS('Processed Instances'!$C$5:$C$63,B38,'Processed Instances'!$E$5:$E$63,F38)</f>
        <v>2</v>
      </c>
      <c r="K38" s="26" t="n">
        <f aca="false">SUMIFS('Processed Instances'!$J$5:$J$63,'Processed Instances'!$C$5:$C$63,B38,'Processed Instances'!$E$5:$E$63,F38)</f>
        <v>65</v>
      </c>
    </row>
    <row r="39" customFormat="false" ht="18" hidden="false" customHeight="true" outlineLevel="0" collapsed="false">
      <c r="A39" s="7" t="s">
        <v>81</v>
      </c>
      <c r="B39" s="7" t="s">
        <v>239</v>
      </c>
      <c r="C39" s="7" t="s">
        <v>240</v>
      </c>
      <c r="D39" s="7" t="s">
        <v>159</v>
      </c>
      <c r="E39" s="7" t="str">
        <f aca="false">INDEX(Sessions!$B$5:$B$8,MATCH(D39,Sessions!$A$5:$A$8,0))</f>
        <v>5-Day Academy</v>
      </c>
      <c r="F39" s="27" t="n">
        <v>45951</v>
      </c>
      <c r="G39" s="26" t="n">
        <f aca="false">F39-INDEX(Sessions!$D$5:$D$8,MATCH(D39,Sessions!$A$5:$A$8,0))+1</f>
        <v>2</v>
      </c>
      <c r="H39" s="7" t="s">
        <v>532</v>
      </c>
      <c r="I39" s="7" t="s">
        <v>533</v>
      </c>
      <c r="J39" s="26" t="n">
        <f aca="false">COUNTIFS('Processed Instances'!$C$5:$C$63,B39,'Processed Instances'!$E$5:$E$63,F39)</f>
        <v>1</v>
      </c>
      <c r="K39" s="26" t="n">
        <f aca="false">SUMIFS('Processed Instances'!$J$5:$J$63,'Processed Instances'!$C$5:$C$63,B39,'Processed Instances'!$E$5:$E$63,F39)</f>
        <v>30</v>
      </c>
    </row>
    <row r="40" customFormat="false" ht="18" hidden="false" customHeight="true" outlineLevel="0" collapsed="false">
      <c r="A40" s="7" t="s">
        <v>81</v>
      </c>
      <c r="B40" s="7" t="s">
        <v>239</v>
      </c>
      <c r="C40" s="7" t="s">
        <v>240</v>
      </c>
      <c r="D40" s="7" t="s">
        <v>159</v>
      </c>
      <c r="E40" s="7" t="str">
        <f aca="false">INDEX(Sessions!$B$5:$B$8,MATCH(D40,Sessions!$A$5:$A$8,0))</f>
        <v>5-Day Academy</v>
      </c>
      <c r="F40" s="27" t="n">
        <v>45952</v>
      </c>
      <c r="G40" s="26" t="n">
        <f aca="false">F40-INDEX(Sessions!$D$5:$D$8,MATCH(D40,Sessions!$A$5:$A$8,0))+1</f>
        <v>3</v>
      </c>
      <c r="H40" s="7" t="s">
        <v>545</v>
      </c>
      <c r="I40" s="7" t="s">
        <v>546</v>
      </c>
      <c r="J40" s="26" t="n">
        <f aca="false">COUNTIFS('Processed Instances'!$C$5:$C$63,B40,'Processed Instances'!$E$5:$E$63,F40)</f>
        <v>1</v>
      </c>
      <c r="K40" s="26" t="n">
        <f aca="false">SUMIFS('Processed Instances'!$J$5:$J$63,'Processed Instances'!$C$5:$C$63,B40,'Processed Instances'!$E$5:$E$63,F40)</f>
        <v>40</v>
      </c>
    </row>
    <row r="41" customFormat="false" ht="18" hidden="false" customHeight="true" outlineLevel="0" collapsed="false">
      <c r="A41" s="7" t="s">
        <v>81</v>
      </c>
      <c r="B41" s="7" t="s">
        <v>239</v>
      </c>
      <c r="C41" s="7" t="s">
        <v>240</v>
      </c>
      <c r="D41" s="7" t="s">
        <v>159</v>
      </c>
      <c r="E41" s="7" t="str">
        <f aca="false">INDEX(Sessions!$B$5:$B$8,MATCH(D41,Sessions!$A$5:$A$8,0))</f>
        <v>5-Day Academy</v>
      </c>
      <c r="F41" s="27" t="n">
        <v>45953</v>
      </c>
      <c r="G41" s="26" t="n">
        <f aca="false">F41-INDEX(Sessions!$D$5:$D$8,MATCH(D41,Sessions!$A$5:$A$8,0))+1</f>
        <v>4</v>
      </c>
      <c r="H41" s="7" t="s">
        <v>556</v>
      </c>
      <c r="I41" s="7" t="s">
        <v>554</v>
      </c>
      <c r="J41" s="26" t="n">
        <f aca="false">COUNTIFS('Processed Instances'!$C$5:$C$63,B41,'Processed Instances'!$E$5:$E$63,F41)</f>
        <v>1</v>
      </c>
      <c r="K41" s="26" t="n">
        <f aca="false">SUMIFS('Processed Instances'!$J$5:$J$63,'Processed Instances'!$C$5:$C$63,B41,'Processed Instances'!$E$5:$E$63,F41)</f>
        <v>75</v>
      </c>
    </row>
    <row r="42" customFormat="false" ht="18" hidden="false" customHeight="true" outlineLevel="0" collapsed="false">
      <c r="A42" s="7" t="s">
        <v>81</v>
      </c>
      <c r="B42" s="7" t="s">
        <v>239</v>
      </c>
      <c r="C42" s="7" t="s">
        <v>240</v>
      </c>
      <c r="D42" s="7" t="s">
        <v>159</v>
      </c>
      <c r="E42" s="7" t="str">
        <f aca="false">INDEX(Sessions!$B$5:$B$8,MATCH(D42,Sessions!$A$5:$A$8,0))</f>
        <v>5-Day Academy</v>
      </c>
      <c r="F42" s="27" t="n">
        <v>45954</v>
      </c>
      <c r="G42" s="26" t="n">
        <f aca="false">F42-INDEX(Sessions!$D$5:$D$8,MATCH(D42,Sessions!$A$5:$A$8,0))+1</f>
        <v>5</v>
      </c>
      <c r="H42" s="7" t="s">
        <v>632</v>
      </c>
      <c r="I42" s="7" t="s">
        <v>633</v>
      </c>
      <c r="J42" s="26" t="n">
        <f aca="false">COUNTIFS('Processed Instances'!$C$5:$C$63,B42,'Processed Instances'!$E$5:$E$63,F42)</f>
        <v>2</v>
      </c>
      <c r="K42" s="26" t="n">
        <f aca="false">SUMIFS('Processed Instances'!$J$5:$J$63,'Processed Instances'!$C$5:$C$63,B42,'Processed Instances'!$E$5:$E$63,F42)</f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13" min="4" style="0" width="11"/>
    <col collapsed="false" customWidth="true" hidden="false" outlineLevel="0" max="15" min="14" style="0" width="10"/>
  </cols>
  <sheetData>
    <row r="1" customFormat="false" ht="19.7" hidden="false" customHeight="false" outlineLevel="0" collapsed="false">
      <c r="A1" s="1" t="s">
        <v>634</v>
      </c>
    </row>
    <row r="2" customFormat="false" ht="15" hidden="false" customHeight="false" outlineLevel="0" collapsed="false">
      <c r="A2" s="2" t="s">
        <v>635</v>
      </c>
    </row>
    <row r="4" customFormat="false" ht="31.5" hidden="false" customHeight="true" outlineLevel="0" collapsed="false">
      <c r="A4" s="3" t="s">
        <v>243</v>
      </c>
      <c r="B4" s="3" t="s">
        <v>153</v>
      </c>
      <c r="C4" s="3" t="s">
        <v>43</v>
      </c>
      <c r="D4" s="3" t="s">
        <v>636</v>
      </c>
      <c r="E4" s="3" t="s">
        <v>637</v>
      </c>
      <c r="F4" s="3" t="s">
        <v>638</v>
      </c>
      <c r="G4" s="3" t="s">
        <v>639</v>
      </c>
      <c r="H4" s="3" t="s">
        <v>640</v>
      </c>
      <c r="I4" s="3" t="s">
        <v>641</v>
      </c>
      <c r="J4" s="3" t="s">
        <v>642</v>
      </c>
      <c r="K4" s="3" t="s">
        <v>643</v>
      </c>
      <c r="L4" s="3" t="s">
        <v>644</v>
      </c>
      <c r="M4" s="3" t="s">
        <v>645</v>
      </c>
      <c r="N4" s="3" t="s">
        <v>58</v>
      </c>
      <c r="O4" s="3" t="s">
        <v>646</v>
      </c>
    </row>
    <row r="5" customFormat="false" ht="33" hidden="false" customHeight="true" outlineLevel="0" collapsed="false">
      <c r="A5" s="7" t="s">
        <v>88</v>
      </c>
      <c r="B5" s="7" t="s">
        <v>156</v>
      </c>
      <c r="C5" s="7" t="str">
        <f aca="false">INDEX(Sessions!$B$5:$B$8,MATCH(B5,Sessions!$A$5:$A$8,0))</f>
        <v>1-Day Workshop</v>
      </c>
      <c r="D5" s="38" t="s">
        <v>647</v>
      </c>
      <c r="E5" s="38" t="s">
        <v>648</v>
      </c>
      <c r="F5" s="39"/>
      <c r="G5" s="39"/>
      <c r="H5" s="39"/>
      <c r="I5" s="39"/>
      <c r="J5" s="39"/>
      <c r="K5" s="39"/>
      <c r="L5" s="39"/>
      <c r="M5" s="39"/>
      <c r="N5" s="26" t="n">
        <f aca="false">COUNTIF('Processed Instances'!$B$5:$B$63,A5)</f>
        <v>2</v>
      </c>
      <c r="O5" s="26" t="n">
        <f aca="false">SUMIF('Processed Instances'!$B$5:$B$63,A5,'Processed Instances'!$J$5:$J$63)</f>
        <v>90</v>
      </c>
    </row>
    <row r="6" customFormat="false" ht="18" hidden="false" customHeight="true" outlineLevel="0" collapsed="false">
      <c r="A6" s="7" t="s">
        <v>251</v>
      </c>
      <c r="B6" s="7" t="s">
        <v>156</v>
      </c>
      <c r="C6" s="7" t="str">
        <f aca="false">INDEX(Sessions!$B$5:$B$8,MATCH(B6,Sessions!$A$5:$A$8,0))</f>
        <v>1-Day Workshop</v>
      </c>
      <c r="D6" s="38" t="s">
        <v>649</v>
      </c>
      <c r="E6" s="38" t="s">
        <v>70</v>
      </c>
      <c r="F6" s="39"/>
      <c r="G6" s="39"/>
      <c r="H6" s="39"/>
      <c r="I6" s="39"/>
      <c r="J6" s="39"/>
      <c r="K6" s="39"/>
      <c r="L6" s="39"/>
      <c r="M6" s="39"/>
      <c r="N6" s="26" t="n">
        <f aca="false">COUNTIF('Processed Instances'!$B$5:$B$63,A6)</f>
        <v>1</v>
      </c>
      <c r="O6" s="26" t="n">
        <f aca="false">SUMIF('Processed Instances'!$B$5:$B$63,A6,'Processed Instances'!$J$5:$J$63)</f>
        <v>15</v>
      </c>
    </row>
    <row r="7" customFormat="false" ht="33" hidden="false" customHeight="true" outlineLevel="0" collapsed="false">
      <c r="A7" s="7" t="s">
        <v>261</v>
      </c>
      <c r="B7" s="7" t="s">
        <v>156</v>
      </c>
      <c r="C7" s="7" t="str">
        <f aca="false">INDEX(Sessions!$B$5:$B$8,MATCH(B7,Sessions!$A$5:$A$8,0))</f>
        <v>1-Day Workshop</v>
      </c>
      <c r="D7" s="38" t="s">
        <v>650</v>
      </c>
      <c r="E7" s="38" t="s">
        <v>651</v>
      </c>
      <c r="F7" s="39"/>
      <c r="G7" s="39"/>
      <c r="H7" s="39"/>
      <c r="I7" s="39"/>
      <c r="J7" s="39"/>
      <c r="K7" s="39"/>
      <c r="L7" s="39"/>
      <c r="M7" s="39"/>
      <c r="N7" s="26" t="n">
        <f aca="false">COUNTIF('Processed Instances'!$B$5:$B$63,A7)</f>
        <v>2</v>
      </c>
      <c r="O7" s="26" t="n">
        <f aca="false">SUMIF('Processed Instances'!$B$5:$B$63,A7,'Processed Instances'!$J$5:$J$63)</f>
        <v>90</v>
      </c>
    </row>
    <row r="8" customFormat="false" ht="18" hidden="false" customHeight="true" outlineLevel="0" collapsed="false">
      <c r="A8" s="7" t="s">
        <v>265</v>
      </c>
      <c r="B8" s="7" t="s">
        <v>157</v>
      </c>
      <c r="C8" s="7" t="str">
        <f aca="false">INDEX(Sessions!$B$5:$B$8,MATCH(B8,Sessions!$A$5:$A$8,0))</f>
        <v>2-Day Bootcamp</v>
      </c>
      <c r="D8" s="38" t="s">
        <v>652</v>
      </c>
      <c r="E8" s="38" t="s">
        <v>652</v>
      </c>
      <c r="F8" s="38" t="s">
        <v>653</v>
      </c>
      <c r="G8" s="38" t="s">
        <v>654</v>
      </c>
      <c r="H8" s="39"/>
      <c r="I8" s="39"/>
      <c r="J8" s="39"/>
      <c r="K8" s="39"/>
      <c r="L8" s="39"/>
      <c r="M8" s="39"/>
      <c r="N8" s="26" t="n">
        <f aca="false">COUNTIF('Processed Instances'!$B$5:$B$63,A8)</f>
        <v>1</v>
      </c>
      <c r="O8" s="26" t="n">
        <f aca="false">SUMIF('Processed Instances'!$B$5:$B$63,A8,'Processed Instances'!$J$5:$J$63)</f>
        <v>75</v>
      </c>
    </row>
    <row r="9" customFormat="false" ht="18" hidden="false" customHeight="true" outlineLevel="0" collapsed="false">
      <c r="A9" s="7" t="s">
        <v>271</v>
      </c>
      <c r="B9" s="7" t="s">
        <v>157</v>
      </c>
      <c r="C9" s="7" t="str">
        <f aca="false">INDEX(Sessions!$B$5:$B$8,MATCH(B9,Sessions!$A$5:$A$8,0))</f>
        <v>2-Day Bootcamp</v>
      </c>
      <c r="D9" s="38" t="s">
        <v>652</v>
      </c>
      <c r="E9" s="38" t="s">
        <v>652</v>
      </c>
      <c r="F9" s="38" t="s">
        <v>655</v>
      </c>
      <c r="G9" s="38" t="s">
        <v>656</v>
      </c>
      <c r="H9" s="39"/>
      <c r="I9" s="39"/>
      <c r="J9" s="39"/>
      <c r="K9" s="39"/>
      <c r="L9" s="39"/>
      <c r="M9" s="39"/>
      <c r="N9" s="26" t="n">
        <f aca="false">COUNTIF('Processed Instances'!$B$5:$B$63,A9)</f>
        <v>1</v>
      </c>
      <c r="O9" s="26" t="n">
        <f aca="false">SUMIF('Processed Instances'!$B$5:$B$63,A9,'Processed Instances'!$J$5:$J$63)</f>
        <v>60</v>
      </c>
    </row>
    <row r="10" customFormat="false" ht="33" hidden="false" customHeight="true" outlineLevel="0" collapsed="false">
      <c r="A10" s="7" t="s">
        <v>86</v>
      </c>
      <c r="B10" s="7" t="s">
        <v>157</v>
      </c>
      <c r="C10" s="7" t="str">
        <f aca="false">INDEX(Sessions!$B$5:$B$8,MATCH(B10,Sessions!$A$5:$A$8,0))</f>
        <v>2-Day Bootcamp</v>
      </c>
      <c r="D10" s="38" t="s">
        <v>657</v>
      </c>
      <c r="E10" s="38" t="s">
        <v>658</v>
      </c>
      <c r="F10" s="38" t="s">
        <v>659</v>
      </c>
      <c r="G10" s="38" t="s">
        <v>660</v>
      </c>
      <c r="H10" s="39"/>
      <c r="I10" s="39"/>
      <c r="J10" s="39"/>
      <c r="K10" s="39"/>
      <c r="L10" s="39"/>
      <c r="M10" s="39"/>
      <c r="N10" s="26" t="n">
        <f aca="false">COUNTIF('Processed Instances'!$B$5:$B$63,A10)</f>
        <v>3</v>
      </c>
      <c r="O10" s="26" t="n">
        <f aca="false">SUMIF('Processed Instances'!$B$5:$B$63,A10,'Processed Instances'!$J$5:$J$63)</f>
        <v>120</v>
      </c>
    </row>
    <row r="11" customFormat="false" ht="48" hidden="false" customHeight="true" outlineLevel="0" collapsed="false">
      <c r="A11" s="7" t="s">
        <v>83</v>
      </c>
      <c r="B11" s="7" t="s">
        <v>158</v>
      </c>
      <c r="C11" s="7" t="str">
        <f aca="false">INDEX(Sessions!$B$5:$B$8,MATCH(B11,Sessions!$A$5:$A$8,0))</f>
        <v>4-Day Program</v>
      </c>
      <c r="D11" s="38" t="s">
        <v>652</v>
      </c>
      <c r="E11" s="38" t="s">
        <v>652</v>
      </c>
      <c r="F11" s="38" t="s">
        <v>652</v>
      </c>
      <c r="G11" s="38" t="s">
        <v>652</v>
      </c>
      <c r="H11" s="38" t="s">
        <v>661</v>
      </c>
      <c r="I11" s="38" t="s">
        <v>662</v>
      </c>
      <c r="J11" s="38" t="s">
        <v>422</v>
      </c>
      <c r="K11" s="38" t="s">
        <v>663</v>
      </c>
      <c r="L11" s="39"/>
      <c r="M11" s="39"/>
      <c r="N11" s="26" t="n">
        <f aca="false">COUNTIF('Processed Instances'!$B$5:$B$63,A11)</f>
        <v>4</v>
      </c>
      <c r="O11" s="26" t="n">
        <f aca="false">SUMIF('Processed Instances'!$B$5:$B$63,A11,'Processed Instances'!$J$5:$J$63)</f>
        <v>170</v>
      </c>
    </row>
    <row r="12" customFormat="false" ht="18" hidden="false" customHeight="true" outlineLevel="0" collapsed="false">
      <c r="A12" s="7" t="s">
        <v>296</v>
      </c>
      <c r="B12" s="7" t="s">
        <v>158</v>
      </c>
      <c r="C12" s="7" t="str">
        <f aca="false">INDEX(Sessions!$B$5:$B$8,MATCH(B12,Sessions!$A$5:$A$8,0))</f>
        <v>4-Day Program</v>
      </c>
      <c r="D12" s="38" t="s">
        <v>74</v>
      </c>
      <c r="E12" s="38" t="s">
        <v>664</v>
      </c>
      <c r="F12" s="38" t="s">
        <v>652</v>
      </c>
      <c r="G12" s="38" t="s">
        <v>652</v>
      </c>
      <c r="H12" s="38" t="s">
        <v>652</v>
      </c>
      <c r="I12" s="38" t="s">
        <v>652</v>
      </c>
      <c r="J12" s="38" t="s">
        <v>652</v>
      </c>
      <c r="K12" s="38" t="s">
        <v>652</v>
      </c>
      <c r="L12" s="39"/>
      <c r="M12" s="39"/>
      <c r="N12" s="26" t="n">
        <f aca="false">COUNTIF('Processed Instances'!$B$5:$B$63,A12)</f>
        <v>1</v>
      </c>
      <c r="O12" s="26" t="n">
        <f aca="false">SUMIF('Processed Instances'!$B$5:$B$63,A12,'Processed Instances'!$J$5:$J$63)</f>
        <v>30</v>
      </c>
    </row>
    <row r="13" customFormat="false" ht="18" hidden="false" customHeight="true" outlineLevel="0" collapsed="false">
      <c r="A13" s="7" t="s">
        <v>298</v>
      </c>
      <c r="B13" s="7" t="s">
        <v>158</v>
      </c>
      <c r="C13" s="7" t="str">
        <f aca="false">INDEX(Sessions!$B$5:$B$8,MATCH(B13,Sessions!$A$5:$A$8,0))</f>
        <v>4-Day Program</v>
      </c>
      <c r="D13" s="38" t="s">
        <v>652</v>
      </c>
      <c r="E13" s="38" t="s">
        <v>652</v>
      </c>
      <c r="F13" s="38" t="s">
        <v>652</v>
      </c>
      <c r="G13" s="38" t="s">
        <v>652</v>
      </c>
      <c r="H13" s="38" t="s">
        <v>652</v>
      </c>
      <c r="I13" s="38" t="s">
        <v>652</v>
      </c>
      <c r="J13" s="38" t="s">
        <v>665</v>
      </c>
      <c r="K13" s="38" t="s">
        <v>666</v>
      </c>
      <c r="L13" s="39"/>
      <c r="M13" s="39"/>
      <c r="N13" s="26" t="n">
        <f aca="false">COUNTIF('Processed Instances'!$B$5:$B$63,A13)</f>
        <v>1</v>
      </c>
      <c r="O13" s="26" t="n">
        <f aca="false">SUMIF('Processed Instances'!$B$5:$B$63,A13,'Processed Instances'!$J$5:$J$63)</f>
        <v>60</v>
      </c>
    </row>
    <row r="14" customFormat="false" ht="33" hidden="false" customHeight="true" outlineLevel="0" collapsed="false">
      <c r="A14" s="7" t="s">
        <v>89</v>
      </c>
      <c r="B14" s="7" t="s">
        <v>158</v>
      </c>
      <c r="C14" s="7" t="str">
        <f aca="false">INDEX(Sessions!$B$5:$B$8,MATCH(B14,Sessions!$A$5:$A$8,0))</f>
        <v>4-Day Program</v>
      </c>
      <c r="D14" s="38" t="s">
        <v>667</v>
      </c>
      <c r="E14" s="38" t="s">
        <v>668</v>
      </c>
      <c r="F14" s="38" t="s">
        <v>652</v>
      </c>
      <c r="G14" s="38" t="s">
        <v>652</v>
      </c>
      <c r="H14" s="38" t="s">
        <v>652</v>
      </c>
      <c r="I14" s="38" t="s">
        <v>652</v>
      </c>
      <c r="J14" s="38" t="s">
        <v>76</v>
      </c>
      <c r="K14" s="38" t="s">
        <v>669</v>
      </c>
      <c r="L14" s="39"/>
      <c r="M14" s="39"/>
      <c r="N14" s="26" t="n">
        <f aca="false">COUNTIF('Processed Instances'!$B$5:$B$63,A14)</f>
        <v>3</v>
      </c>
      <c r="O14" s="26" t="n">
        <f aca="false">SUMIF('Processed Instances'!$B$5:$B$63,A14,'Processed Instances'!$J$5:$J$63)</f>
        <v>90</v>
      </c>
    </row>
    <row r="15" customFormat="false" ht="18" hidden="false" customHeight="true" outlineLevel="0" collapsed="false">
      <c r="A15" s="7" t="s">
        <v>286</v>
      </c>
      <c r="B15" s="7" t="s">
        <v>158</v>
      </c>
      <c r="C15" s="7" t="str">
        <f aca="false">INDEX(Sessions!$B$5:$B$8,MATCH(B15,Sessions!$A$5:$A$8,0))</f>
        <v>4-Day Program</v>
      </c>
      <c r="D15" s="38" t="s">
        <v>670</v>
      </c>
      <c r="E15" s="38" t="s">
        <v>671</v>
      </c>
      <c r="F15" s="38" t="s">
        <v>652</v>
      </c>
      <c r="G15" s="38" t="s">
        <v>652</v>
      </c>
      <c r="H15" s="38" t="s">
        <v>652</v>
      </c>
      <c r="I15" s="38" t="s">
        <v>652</v>
      </c>
      <c r="J15" s="38" t="s">
        <v>672</v>
      </c>
      <c r="K15" s="38" t="s">
        <v>673</v>
      </c>
      <c r="L15" s="39"/>
      <c r="M15" s="39"/>
      <c r="N15" s="26" t="n">
        <f aca="false">COUNTIF('Processed Instances'!$B$5:$B$63,A15)</f>
        <v>2</v>
      </c>
      <c r="O15" s="26" t="n">
        <f aca="false">SUMIF('Processed Instances'!$B$5:$B$63,A15,'Processed Instances'!$J$5:$J$63)</f>
        <v>70</v>
      </c>
    </row>
    <row r="16" customFormat="false" ht="18" hidden="false" customHeight="true" outlineLevel="0" collapsed="false">
      <c r="A16" s="7" t="s">
        <v>288</v>
      </c>
      <c r="B16" s="7" t="s">
        <v>158</v>
      </c>
      <c r="C16" s="7" t="str">
        <f aca="false">INDEX(Sessions!$B$5:$B$8,MATCH(B16,Sessions!$A$5:$A$8,0))</f>
        <v>4-Day Program</v>
      </c>
      <c r="D16" s="38" t="s">
        <v>652</v>
      </c>
      <c r="E16" s="38" t="s">
        <v>652</v>
      </c>
      <c r="F16" s="38" t="s">
        <v>660</v>
      </c>
      <c r="G16" s="38" t="s">
        <v>674</v>
      </c>
      <c r="H16" s="38" t="s">
        <v>652</v>
      </c>
      <c r="I16" s="38" t="s">
        <v>652</v>
      </c>
      <c r="J16" s="38" t="s">
        <v>652</v>
      </c>
      <c r="K16" s="38" t="s">
        <v>652</v>
      </c>
      <c r="L16" s="39"/>
      <c r="M16" s="39"/>
      <c r="N16" s="26" t="n">
        <f aca="false">COUNTIF('Processed Instances'!$B$5:$B$63,A16)</f>
        <v>1</v>
      </c>
      <c r="O16" s="26" t="n">
        <f aca="false">SUMIF('Processed Instances'!$B$5:$B$63,A16,'Processed Instances'!$J$5:$J$63)</f>
        <v>40</v>
      </c>
    </row>
    <row r="17" customFormat="false" ht="48" hidden="false" customHeight="true" outlineLevel="0" collapsed="false">
      <c r="A17" s="7" t="s">
        <v>84</v>
      </c>
      <c r="B17" s="7" t="s">
        <v>158</v>
      </c>
      <c r="C17" s="7" t="str">
        <f aca="false">INDEX(Sessions!$B$5:$B$8,MATCH(B17,Sessions!$A$5:$A$8,0))</f>
        <v>4-Day Program</v>
      </c>
      <c r="D17" s="38" t="s">
        <v>652</v>
      </c>
      <c r="E17" s="38" t="s">
        <v>652</v>
      </c>
      <c r="F17" s="38" t="s">
        <v>652</v>
      </c>
      <c r="G17" s="38" t="s">
        <v>652</v>
      </c>
      <c r="H17" s="38" t="s">
        <v>675</v>
      </c>
      <c r="I17" s="38" t="s">
        <v>676</v>
      </c>
      <c r="J17" s="38" t="s">
        <v>652</v>
      </c>
      <c r="K17" s="38" t="s">
        <v>652</v>
      </c>
      <c r="L17" s="39"/>
      <c r="M17" s="39"/>
      <c r="N17" s="26" t="n">
        <f aca="false">COUNTIF('Processed Instances'!$B$5:$B$63,A17)</f>
        <v>3</v>
      </c>
      <c r="O17" s="26" t="n">
        <f aca="false">SUMIF('Processed Instances'!$B$5:$B$63,A17,'Processed Instances'!$J$5:$J$63)</f>
        <v>165</v>
      </c>
    </row>
    <row r="18" customFormat="false" ht="33" hidden="false" customHeight="true" outlineLevel="0" collapsed="false">
      <c r="A18" s="7" t="s">
        <v>291</v>
      </c>
      <c r="B18" s="7" t="s">
        <v>158</v>
      </c>
      <c r="C18" s="7" t="str">
        <f aca="false">INDEX(Sessions!$B$5:$B$8,MATCH(B18,Sessions!$A$5:$A$8,0))</f>
        <v>4-Day Program</v>
      </c>
      <c r="D18" s="38" t="s">
        <v>677</v>
      </c>
      <c r="E18" s="38" t="s">
        <v>678</v>
      </c>
      <c r="F18" s="38" t="s">
        <v>652</v>
      </c>
      <c r="G18" s="38" t="s">
        <v>652</v>
      </c>
      <c r="H18" s="38" t="s">
        <v>652</v>
      </c>
      <c r="I18" s="38" t="s">
        <v>652</v>
      </c>
      <c r="J18" s="38" t="s">
        <v>652</v>
      </c>
      <c r="K18" s="38" t="s">
        <v>652</v>
      </c>
      <c r="L18" s="39"/>
      <c r="M18" s="39"/>
      <c r="N18" s="26" t="n">
        <f aca="false">COUNTIF('Processed Instances'!$B$5:$B$63,A18)</f>
        <v>2</v>
      </c>
      <c r="O18" s="26" t="n">
        <f aca="false">SUMIF('Processed Instances'!$B$5:$B$63,A18,'Processed Instances'!$J$5:$J$63)</f>
        <v>30</v>
      </c>
    </row>
    <row r="19" customFormat="false" ht="18" hidden="false" customHeight="true" outlineLevel="0" collapsed="false">
      <c r="A19" s="7" t="s">
        <v>293</v>
      </c>
      <c r="B19" s="7" t="s">
        <v>158</v>
      </c>
      <c r="C19" s="7" t="str">
        <f aca="false">INDEX(Sessions!$B$5:$B$8,MATCH(B19,Sessions!$A$5:$A$8,0))</f>
        <v>4-Day Program</v>
      </c>
      <c r="D19" s="38" t="s">
        <v>652</v>
      </c>
      <c r="E19" s="38" t="s">
        <v>652</v>
      </c>
      <c r="F19" s="38" t="s">
        <v>652</v>
      </c>
      <c r="G19" s="38" t="s">
        <v>652</v>
      </c>
      <c r="H19" s="38" t="s">
        <v>679</v>
      </c>
      <c r="I19" s="38" t="s">
        <v>680</v>
      </c>
      <c r="J19" s="38" t="s">
        <v>652</v>
      </c>
      <c r="K19" s="38" t="s">
        <v>652</v>
      </c>
      <c r="L19" s="39"/>
      <c r="M19" s="39"/>
      <c r="N19" s="26" t="n">
        <f aca="false">COUNTIF('Processed Instances'!$B$5:$B$63,A19)</f>
        <v>1</v>
      </c>
      <c r="O19" s="26" t="n">
        <f aca="false">SUMIF('Processed Instances'!$B$5:$B$63,A19,'Processed Instances'!$J$5:$J$63)</f>
        <v>15</v>
      </c>
    </row>
    <row r="20" customFormat="false" ht="33" hidden="false" customHeight="true" outlineLevel="0" collapsed="false">
      <c r="A20" s="7" t="s">
        <v>82</v>
      </c>
      <c r="B20" s="7" t="s">
        <v>159</v>
      </c>
      <c r="C20" s="7" t="str">
        <f aca="false">INDEX(Sessions!$B$5:$B$8,MATCH(B20,Sessions!$A$5:$A$8,0))</f>
        <v>5-Day Academy</v>
      </c>
      <c r="D20" s="38" t="s">
        <v>681</v>
      </c>
      <c r="E20" s="38" t="s">
        <v>682</v>
      </c>
      <c r="F20" s="38" t="s">
        <v>683</v>
      </c>
      <c r="G20" s="38" t="s">
        <v>656</v>
      </c>
      <c r="H20" s="38" t="s">
        <v>684</v>
      </c>
      <c r="I20" s="38" t="s">
        <v>685</v>
      </c>
      <c r="J20" s="38" t="s">
        <v>652</v>
      </c>
      <c r="K20" s="38" t="s">
        <v>652</v>
      </c>
      <c r="L20" s="38" t="s">
        <v>652</v>
      </c>
      <c r="M20" s="38" t="s">
        <v>652</v>
      </c>
      <c r="N20" s="26" t="n">
        <f aca="false">COUNTIF('Processed Instances'!$B$5:$B$63,A20)</f>
        <v>5</v>
      </c>
      <c r="O20" s="26" t="n">
        <f aca="false">SUMIF('Processed Instances'!$B$5:$B$63,A20,'Processed Instances'!$J$5:$J$63)</f>
        <v>200</v>
      </c>
    </row>
    <row r="21" customFormat="false" ht="18" hidden="false" customHeight="true" outlineLevel="0" collapsed="false">
      <c r="A21" s="7" t="s">
        <v>304</v>
      </c>
      <c r="B21" s="7" t="s">
        <v>159</v>
      </c>
      <c r="C21" s="7" t="str">
        <f aca="false">INDEX(Sessions!$B$5:$B$8,MATCH(B21,Sessions!$A$5:$A$8,0))</f>
        <v>5-Day Academy</v>
      </c>
      <c r="D21" s="38" t="s">
        <v>399</v>
      </c>
      <c r="E21" s="38" t="s">
        <v>400</v>
      </c>
      <c r="F21" s="38" t="s">
        <v>652</v>
      </c>
      <c r="G21" s="38" t="s">
        <v>652</v>
      </c>
      <c r="H21" s="38" t="s">
        <v>652</v>
      </c>
      <c r="I21" s="38" t="s">
        <v>652</v>
      </c>
      <c r="J21" s="38" t="s">
        <v>652</v>
      </c>
      <c r="K21" s="38" t="s">
        <v>652</v>
      </c>
      <c r="L21" s="38" t="s">
        <v>652</v>
      </c>
      <c r="M21" s="38" t="s">
        <v>652</v>
      </c>
      <c r="N21" s="26" t="n">
        <f aca="false">COUNTIF('Processed Instances'!$B$5:$B$63,A21)</f>
        <v>1</v>
      </c>
      <c r="O21" s="26" t="n">
        <f aca="false">SUMIF('Processed Instances'!$B$5:$B$63,A21,'Processed Instances'!$J$5:$J$63)</f>
        <v>75</v>
      </c>
    </row>
    <row r="22" customFormat="false" ht="18" hidden="false" customHeight="true" outlineLevel="0" collapsed="false">
      <c r="A22" s="7" t="s">
        <v>306</v>
      </c>
      <c r="B22" s="7" t="s">
        <v>159</v>
      </c>
      <c r="C22" s="7" t="str">
        <f aca="false">INDEX(Sessions!$B$5:$B$8,MATCH(B22,Sessions!$A$5:$A$8,0))</f>
        <v>5-Day Academy</v>
      </c>
      <c r="D22" s="38" t="s">
        <v>686</v>
      </c>
      <c r="E22" s="38" t="s">
        <v>674</v>
      </c>
      <c r="F22" s="38" t="s">
        <v>652</v>
      </c>
      <c r="G22" s="38" t="s">
        <v>652</v>
      </c>
      <c r="H22" s="38" t="s">
        <v>652</v>
      </c>
      <c r="I22" s="38" t="s">
        <v>652</v>
      </c>
      <c r="J22" s="38" t="s">
        <v>652</v>
      </c>
      <c r="K22" s="38" t="s">
        <v>652</v>
      </c>
      <c r="L22" s="38" t="s">
        <v>652</v>
      </c>
      <c r="M22" s="38" t="s">
        <v>652</v>
      </c>
      <c r="N22" s="26" t="n">
        <f aca="false">COUNTIF('Processed Instances'!$B$5:$B$63,A22)</f>
        <v>1</v>
      </c>
      <c r="O22" s="26" t="n">
        <f aca="false">SUMIF('Processed Instances'!$B$5:$B$63,A22,'Processed Instances'!$J$5:$J$63)</f>
        <v>75</v>
      </c>
    </row>
    <row r="23" customFormat="false" ht="48" hidden="false" customHeight="true" outlineLevel="0" collapsed="false">
      <c r="A23" s="7" t="s">
        <v>80</v>
      </c>
      <c r="B23" s="7" t="s">
        <v>159</v>
      </c>
      <c r="C23" s="7" t="str">
        <f aca="false">INDEX(Sessions!$B$5:$B$8,MATCH(B23,Sessions!$A$5:$A$8,0))</f>
        <v>5-Day Academy</v>
      </c>
      <c r="D23" s="38" t="s">
        <v>652</v>
      </c>
      <c r="E23" s="38" t="s">
        <v>652</v>
      </c>
      <c r="F23" s="38" t="s">
        <v>687</v>
      </c>
      <c r="G23" s="38" t="s">
        <v>688</v>
      </c>
      <c r="H23" s="38" t="s">
        <v>689</v>
      </c>
      <c r="I23" s="38" t="s">
        <v>690</v>
      </c>
      <c r="J23" s="38" t="s">
        <v>652</v>
      </c>
      <c r="K23" s="38" t="s">
        <v>652</v>
      </c>
      <c r="L23" s="38" t="s">
        <v>691</v>
      </c>
      <c r="M23" s="38" t="s">
        <v>692</v>
      </c>
      <c r="N23" s="26" t="n">
        <f aca="false">COUNTIF('Processed Instances'!$B$5:$B$63,A23)</f>
        <v>8</v>
      </c>
      <c r="O23" s="26" t="n">
        <f aca="false">SUMIF('Processed Instances'!$B$5:$B$63,A23,'Processed Instances'!$J$5:$J$63)</f>
        <v>255</v>
      </c>
    </row>
    <row r="24" customFormat="false" ht="48" hidden="false" customHeight="true" outlineLevel="0" collapsed="false">
      <c r="A24" s="7" t="s">
        <v>87</v>
      </c>
      <c r="B24" s="7" t="s">
        <v>159</v>
      </c>
      <c r="C24" s="7" t="str">
        <f aca="false">INDEX(Sessions!$B$5:$B$8,MATCH(B24,Sessions!$A$5:$A$8,0))</f>
        <v>5-Day Academy</v>
      </c>
      <c r="D24" s="38" t="s">
        <v>652</v>
      </c>
      <c r="E24" s="38" t="s">
        <v>652</v>
      </c>
      <c r="F24" s="38" t="s">
        <v>652</v>
      </c>
      <c r="G24" s="38" t="s">
        <v>652</v>
      </c>
      <c r="H24" s="38" t="s">
        <v>664</v>
      </c>
      <c r="I24" s="38" t="s">
        <v>693</v>
      </c>
      <c r="J24" s="38" t="s">
        <v>694</v>
      </c>
      <c r="K24" s="38" t="s">
        <v>695</v>
      </c>
      <c r="L24" s="38" t="s">
        <v>696</v>
      </c>
      <c r="M24" s="38" t="s">
        <v>697</v>
      </c>
      <c r="N24" s="26" t="n">
        <f aca="false">COUNTIF('Processed Instances'!$B$5:$B$63,A24)</f>
        <v>5</v>
      </c>
      <c r="O24" s="26" t="n">
        <f aca="false">SUMIF('Processed Instances'!$B$5:$B$63,A24,'Processed Instances'!$J$5:$J$63)</f>
        <v>105</v>
      </c>
    </row>
    <row r="25" customFormat="false" ht="33" hidden="false" customHeight="true" outlineLevel="0" collapsed="false">
      <c r="A25" s="7" t="s">
        <v>85</v>
      </c>
      <c r="B25" s="7" t="s">
        <v>159</v>
      </c>
      <c r="C25" s="7" t="str">
        <f aca="false">INDEX(Sessions!$B$5:$B$8,MATCH(B25,Sessions!$A$5:$A$8,0))</f>
        <v>5-Day Academy</v>
      </c>
      <c r="D25" s="38" t="s">
        <v>652</v>
      </c>
      <c r="E25" s="38" t="s">
        <v>652</v>
      </c>
      <c r="F25" s="38" t="s">
        <v>652</v>
      </c>
      <c r="G25" s="38" t="s">
        <v>652</v>
      </c>
      <c r="H25" s="38" t="s">
        <v>400</v>
      </c>
      <c r="I25" s="38" t="s">
        <v>75</v>
      </c>
      <c r="J25" s="38" t="s">
        <v>698</v>
      </c>
      <c r="K25" s="38" t="s">
        <v>699</v>
      </c>
      <c r="L25" s="38" t="s">
        <v>652</v>
      </c>
      <c r="M25" s="38" t="s">
        <v>652</v>
      </c>
      <c r="N25" s="26" t="n">
        <f aca="false">COUNTIF('Processed Instances'!$B$5:$B$63,A25)</f>
        <v>3</v>
      </c>
      <c r="O25" s="26" t="n">
        <f aca="false">SUMIF('Processed Instances'!$B$5:$B$63,A25,'Processed Instances'!$J$5:$J$63)</f>
        <v>160</v>
      </c>
    </row>
    <row r="26" customFormat="false" ht="33" hidden="false" customHeight="true" outlineLevel="0" collapsed="false">
      <c r="A26" s="7" t="s">
        <v>316</v>
      </c>
      <c r="B26" s="7" t="s">
        <v>159</v>
      </c>
      <c r="C26" s="7" t="str">
        <f aca="false">INDEX(Sessions!$B$5:$B$8,MATCH(B26,Sessions!$A$5:$A$8,0))</f>
        <v>5-Day Academy</v>
      </c>
      <c r="D26" s="38" t="s">
        <v>652</v>
      </c>
      <c r="E26" s="38" t="s">
        <v>652</v>
      </c>
      <c r="F26" s="38" t="s">
        <v>671</v>
      </c>
      <c r="G26" s="38" t="s">
        <v>666</v>
      </c>
      <c r="H26" s="38" t="s">
        <v>652</v>
      </c>
      <c r="I26" s="38" t="s">
        <v>652</v>
      </c>
      <c r="J26" s="38" t="s">
        <v>700</v>
      </c>
      <c r="K26" s="38" t="s">
        <v>701</v>
      </c>
      <c r="L26" s="38" t="s">
        <v>652</v>
      </c>
      <c r="M26" s="38" t="s">
        <v>652</v>
      </c>
      <c r="N26" s="26" t="n">
        <f aca="false">COUNTIF('Processed Instances'!$B$5:$B$63,A26)</f>
        <v>3</v>
      </c>
      <c r="O26" s="26" t="n">
        <f aca="false">SUMIF('Processed Instances'!$B$5:$B$63,A26,'Processed Instances'!$J$5:$J$63)</f>
        <v>85</v>
      </c>
    </row>
    <row r="27" customFormat="false" ht="33" hidden="false" customHeight="true" outlineLevel="0" collapsed="false">
      <c r="A27" s="7" t="s">
        <v>81</v>
      </c>
      <c r="B27" s="7" t="s">
        <v>159</v>
      </c>
      <c r="C27" s="7" t="str">
        <f aca="false">INDEX(Sessions!$B$5:$B$8,MATCH(B27,Sessions!$A$5:$A$8,0))</f>
        <v>5-Day Academy</v>
      </c>
      <c r="D27" s="38" t="s">
        <v>652</v>
      </c>
      <c r="E27" s="38" t="s">
        <v>652</v>
      </c>
      <c r="F27" s="38" t="s">
        <v>70</v>
      </c>
      <c r="G27" s="38" t="s">
        <v>368</v>
      </c>
      <c r="H27" s="38" t="s">
        <v>422</v>
      </c>
      <c r="I27" s="38" t="s">
        <v>423</v>
      </c>
      <c r="J27" s="38" t="s">
        <v>435</v>
      </c>
      <c r="K27" s="38" t="s">
        <v>406</v>
      </c>
      <c r="L27" s="38" t="s">
        <v>702</v>
      </c>
      <c r="M27" s="38" t="s">
        <v>703</v>
      </c>
      <c r="N27" s="26" t="n">
        <f aca="false">COUNTIF('Processed Instances'!$B$5:$B$63,A27)</f>
        <v>5</v>
      </c>
      <c r="O27" s="26" t="n">
        <f aca="false">SUMIF('Processed Instances'!$B$5:$B$63,A27,'Processed Instances'!$J$5:$J$63)</f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704</v>
      </c>
    </row>
    <row r="2" customFormat="false" ht="15" hidden="false" customHeight="false" outlineLevel="0" collapsed="false">
      <c r="A2" s="2" t="s">
        <v>705</v>
      </c>
    </row>
    <row r="4" customFormat="false" ht="15" hidden="false" customHeight="false" outlineLevel="0" collapsed="false">
      <c r="A4" s="3" t="s">
        <v>19</v>
      </c>
      <c r="B4" s="3" t="s">
        <v>20</v>
      </c>
      <c r="C4" s="3" t="s">
        <v>706</v>
      </c>
    </row>
    <row r="5" customFormat="false" ht="15" hidden="false" customHeight="false" outlineLevel="0" collapsed="false">
      <c r="A5" s="7" t="s">
        <v>707</v>
      </c>
      <c r="B5" s="28" t="n">
        <v>30</v>
      </c>
      <c r="C5" s="7" t="s">
        <v>708</v>
      </c>
    </row>
    <row r="6" customFormat="false" ht="15" hidden="false" customHeight="false" outlineLevel="0" collapsed="false">
      <c r="A6" s="7" t="s">
        <v>709</v>
      </c>
      <c r="B6" s="28" t="n">
        <v>30</v>
      </c>
      <c r="C6" s="7" t="s">
        <v>710</v>
      </c>
    </row>
    <row r="7" customFormat="false" ht="15" hidden="false" customHeight="false" outlineLevel="0" collapsed="false">
      <c r="A7" s="7" t="s">
        <v>711</v>
      </c>
      <c r="B7" s="18" t="n">
        <f aca="false">B6/60</f>
        <v>0.5</v>
      </c>
      <c r="C7" s="7" t="s">
        <v>712</v>
      </c>
    </row>
    <row r="8" customFormat="false" ht="15" hidden="false" customHeight="false" outlineLevel="0" collapsed="false">
      <c r="A8" s="7" t="s">
        <v>713</v>
      </c>
      <c r="B8" s="18" t="n">
        <f aca="false">B5-B7</f>
        <v>29.5</v>
      </c>
      <c r="C8" s="7" t="s">
        <v>712</v>
      </c>
    </row>
    <row r="9" customFormat="false" ht="15" hidden="false" customHeight="false" outlineLevel="0" collapsed="false">
      <c r="A9" s="20" t="s">
        <v>714</v>
      </c>
      <c r="B9" s="40" t="n">
        <f aca="false">1-(B7/B5)</f>
        <v>0.983333333333333</v>
      </c>
      <c r="C9" s="7" t="s">
        <v>715</v>
      </c>
    </row>
    <row r="11" customFormat="false" ht="15" hidden="false" customHeight="false" outlineLevel="0" collapsed="false">
      <c r="A11" s="29" t="s">
        <v>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2026-10-20T20:39:56Z</dcterms:created>
  <dc:creator>openpyxl</dc:creator>
  <dc:description/>
  <dc:language>en-US</dc:language>
  <cp:lastModifiedBy/>
  <dcterms:modified xsi:type="dcterms:W3CDTF">2026-10-20T20:39:59Z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